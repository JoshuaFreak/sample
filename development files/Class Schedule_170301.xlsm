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7A2D7E96-6E34-419A-AE5F-296B3A7E7977}"/>
  <workbookPr codeName="ThisWorkbook"/>
  <bookViews>
    <workbookView xWindow="0" yWindow="0" windowWidth="19200" windowHeight="11985" tabRatio="601" activeTab="2"/>
  </bookViews>
  <sheets>
    <sheet name="one on one" sheetId="1" r:id="rId1"/>
    <sheet name="Group class" sheetId="2" r:id="rId2"/>
    <sheet name="Activity Class" sheetId="3" r:id="rId3"/>
    <sheet name="IELTS" sheetId="4" r:id="rId4"/>
  </sheets>
  <definedNames>
    <definedName name="_xlnm.Print_Area" localSheetId="2">'Activity Class'!$A$1:$K$24</definedName>
    <definedName name="_xlnm.Print_Area" localSheetId="1">'Group class'!$A$1:$K$163</definedName>
    <definedName name="_xlnm.Print_Area" localSheetId="0">'one on one'!$A$1:$N$305</definedName>
  </definedNames>
  <calcPr calcId="125725"/>
</workbook>
</file>

<file path=xl/calcChain.xml><?xml version="1.0" encoding="utf-8"?>
<calcChain xmlns="http://schemas.openxmlformats.org/spreadsheetml/2006/main">
  <c r="AB272" i="1"/>
  <c r="AA272"/>
  <c r="Z272"/>
  <c r="Y272"/>
  <c r="X272"/>
  <c r="W272"/>
  <c r="AB270"/>
  <c r="AA270"/>
  <c r="Z270"/>
  <c r="Y270"/>
  <c r="X270"/>
  <c r="W270"/>
  <c r="AB267"/>
  <c r="AA267"/>
  <c r="Z267"/>
  <c r="Y267"/>
  <c r="X267"/>
  <c r="W267"/>
  <c r="AB265"/>
  <c r="AA265"/>
  <c r="Z265"/>
  <c r="Y265"/>
  <c r="X265"/>
  <c r="W265"/>
  <c r="AB262"/>
  <c r="AA262"/>
  <c r="Z262"/>
  <c r="Y262"/>
  <c r="X262"/>
  <c r="W262"/>
  <c r="AB259"/>
  <c r="AA259"/>
  <c r="Z259"/>
  <c r="Y259"/>
  <c r="X259"/>
  <c r="W259"/>
  <c r="AB257"/>
  <c r="AA257"/>
  <c r="Z257"/>
  <c r="Y257"/>
  <c r="X257"/>
  <c r="W257"/>
  <c r="AB254"/>
  <c r="AA254"/>
  <c r="Z254"/>
  <c r="Y254"/>
  <c r="X254"/>
  <c r="W254"/>
  <c r="AB252"/>
  <c r="AA252"/>
  <c r="Z252"/>
  <c r="Y252"/>
  <c r="X252"/>
  <c r="W252"/>
  <c r="AB249"/>
  <c r="AA249"/>
  <c r="Z249"/>
  <c r="Y249"/>
  <c r="X249"/>
  <c r="W249"/>
  <c r="AB247"/>
  <c r="AA247"/>
  <c r="Z247"/>
  <c r="Y247"/>
  <c r="X247"/>
  <c r="W247"/>
  <c r="AB245"/>
  <c r="AA245"/>
  <c r="Z245"/>
  <c r="Y245"/>
  <c r="X245"/>
  <c r="W245"/>
  <c r="AB243"/>
  <c r="AA243"/>
  <c r="Z243"/>
  <c r="Y243"/>
  <c r="X243"/>
  <c r="W243"/>
  <c r="AB241"/>
  <c r="AA241"/>
  <c r="Z241"/>
  <c r="Y241"/>
  <c r="X241"/>
  <c r="W241"/>
  <c r="AB239"/>
  <c r="AA239"/>
  <c r="Z239"/>
  <c r="Y239"/>
  <c r="X239"/>
  <c r="W239"/>
  <c r="AB237"/>
  <c r="AA237"/>
  <c r="Z237"/>
  <c r="Y237"/>
  <c r="X237"/>
  <c r="W237"/>
  <c r="AB234"/>
  <c r="AA234"/>
  <c r="Z234"/>
  <c r="Y234"/>
  <c r="X234"/>
  <c r="W234"/>
  <c r="AB232"/>
  <c r="AA232"/>
  <c r="Z232"/>
  <c r="Y232"/>
  <c r="X232"/>
  <c r="W232"/>
  <c r="AB230"/>
  <c r="AA230"/>
  <c r="Z230"/>
  <c r="Y230"/>
  <c r="X230"/>
  <c r="W230"/>
  <c r="AB228"/>
  <c r="AA228"/>
  <c r="Z228"/>
  <c r="Y228"/>
  <c r="X228"/>
  <c r="W228"/>
  <c r="AB226"/>
  <c r="AA226"/>
  <c r="Z226"/>
  <c r="Y226"/>
  <c r="X226"/>
  <c r="W226"/>
  <c r="AB224"/>
  <c r="AA224"/>
  <c r="Z224"/>
  <c r="Y224"/>
  <c r="X224"/>
  <c r="W224"/>
  <c r="AB221"/>
  <c r="AA221"/>
  <c r="Z221"/>
  <c r="Y221"/>
  <c r="X221"/>
  <c r="W221"/>
  <c r="AB219"/>
  <c r="AA219"/>
  <c r="Z219"/>
  <c r="Y219"/>
  <c r="X219"/>
  <c r="W219"/>
  <c r="AB217"/>
  <c r="AA217"/>
  <c r="Z217"/>
  <c r="Y217"/>
  <c r="X217"/>
  <c r="W217"/>
  <c r="AB215"/>
  <c r="AA215"/>
  <c r="Z215"/>
  <c r="Y215"/>
  <c r="X215"/>
  <c r="W215"/>
  <c r="AB213"/>
  <c r="AA213"/>
  <c r="Z213"/>
  <c r="Y213"/>
  <c r="X213"/>
  <c r="W213"/>
  <c r="AB211"/>
  <c r="AA211"/>
  <c r="Z211"/>
  <c r="Y211"/>
  <c r="X211"/>
  <c r="W211"/>
  <c r="AB209"/>
  <c r="AA209"/>
  <c r="Z209"/>
  <c r="Y209"/>
  <c r="X209"/>
  <c r="W209"/>
  <c r="AB207"/>
  <c r="AA207"/>
  <c r="Z207"/>
  <c r="Y207"/>
  <c r="X207"/>
  <c r="W207"/>
  <c r="AB205"/>
  <c r="AA205"/>
  <c r="Z205"/>
  <c r="Y205"/>
  <c r="X205"/>
  <c r="W205"/>
  <c r="AB203"/>
  <c r="AA203"/>
  <c r="Z203"/>
  <c r="Y203"/>
  <c r="X203"/>
  <c r="W203"/>
  <c r="AB201"/>
  <c r="AA201"/>
  <c r="Z201"/>
  <c r="Y201"/>
  <c r="X201"/>
  <c r="W201"/>
  <c r="AB199"/>
  <c r="AA199"/>
  <c r="Z199"/>
  <c r="Y199"/>
  <c r="X199"/>
  <c r="W199"/>
  <c r="AB197"/>
  <c r="AA197"/>
  <c r="Z197"/>
  <c r="Y197"/>
  <c r="X197"/>
  <c r="W197"/>
  <c r="AB194"/>
  <c r="AA194"/>
  <c r="Z194"/>
  <c r="Y194"/>
  <c r="X194"/>
  <c r="W194"/>
  <c r="AB192"/>
  <c r="AA192"/>
  <c r="Z192"/>
  <c r="Y192"/>
  <c r="X192"/>
  <c r="W192"/>
  <c r="AB189"/>
  <c r="AA189"/>
  <c r="Z189"/>
  <c r="Y189"/>
  <c r="X189"/>
  <c r="W189"/>
  <c r="AB187"/>
  <c r="AA187"/>
  <c r="Z187"/>
  <c r="Y187"/>
  <c r="X187"/>
  <c r="W187"/>
  <c r="AB184"/>
  <c r="AA184"/>
  <c r="Z184"/>
  <c r="Y184"/>
  <c r="X184"/>
  <c r="W184"/>
  <c r="AB182"/>
  <c r="AA182"/>
  <c r="Z182"/>
  <c r="Y182"/>
  <c r="X182"/>
  <c r="W182"/>
  <c r="AB180"/>
  <c r="AA180"/>
  <c r="Z180"/>
  <c r="Y180"/>
  <c r="X180"/>
  <c r="W180"/>
  <c r="AB178"/>
  <c r="AA178"/>
  <c r="Z178"/>
  <c r="Y178"/>
  <c r="X178"/>
  <c r="W178"/>
  <c r="AB176"/>
  <c r="AA176"/>
  <c r="Z176"/>
  <c r="Y176"/>
  <c r="X176"/>
  <c r="W176"/>
  <c r="AB174"/>
  <c r="AA174"/>
  <c r="Z174"/>
  <c r="Y174"/>
  <c r="X174"/>
  <c r="W174"/>
  <c r="AB172"/>
  <c r="AA172"/>
  <c r="Z172"/>
  <c r="Y172"/>
  <c r="X172"/>
  <c r="W172"/>
  <c r="AB170"/>
  <c r="AA170"/>
  <c r="Z170"/>
  <c r="Y170"/>
  <c r="X170"/>
  <c r="W170"/>
  <c r="AB167"/>
  <c r="AA167"/>
  <c r="Z167"/>
  <c r="Y167"/>
  <c r="X167"/>
  <c r="W167"/>
  <c r="AB165"/>
  <c r="AA165"/>
  <c r="Z165"/>
  <c r="Y165"/>
  <c r="X165"/>
  <c r="W165"/>
  <c r="AB163"/>
  <c r="AA163"/>
  <c r="Z163"/>
  <c r="Y163"/>
  <c r="X163"/>
  <c r="W163"/>
  <c r="AB161"/>
  <c r="AA161"/>
  <c r="Z161"/>
  <c r="Y161"/>
  <c r="X161"/>
  <c r="W161"/>
  <c r="AB159"/>
  <c r="AA159"/>
  <c r="Z159"/>
  <c r="Y159"/>
  <c r="X159"/>
  <c r="W159"/>
  <c r="AB157"/>
  <c r="AA157"/>
  <c r="Z157"/>
  <c r="Y157"/>
  <c r="X157"/>
  <c r="W157"/>
  <c r="AB154"/>
  <c r="AA154"/>
  <c r="Z154"/>
  <c r="Y154"/>
  <c r="X154"/>
  <c r="W154"/>
  <c r="AB152"/>
  <c r="AA152"/>
  <c r="Z152"/>
  <c r="Y152"/>
  <c r="X152"/>
  <c r="W152"/>
  <c r="AB150"/>
  <c r="AA150"/>
  <c r="Z150"/>
  <c r="Y150"/>
  <c r="X150"/>
  <c r="W150"/>
  <c r="AB148"/>
  <c r="AA148"/>
  <c r="Z148"/>
  <c r="Y148"/>
  <c r="X148"/>
  <c r="W148"/>
  <c r="AB146"/>
  <c r="AA146"/>
  <c r="Z146"/>
  <c r="Y146"/>
  <c r="X146"/>
  <c r="W146"/>
  <c r="AB144"/>
  <c r="AA144"/>
  <c r="Z144"/>
  <c r="Y144"/>
  <c r="X144"/>
  <c r="W144"/>
  <c r="AB142"/>
  <c r="AA142"/>
  <c r="Z142"/>
  <c r="Y142"/>
  <c r="X142"/>
  <c r="W142"/>
  <c r="AB140"/>
  <c r="AA140"/>
  <c r="Z140"/>
  <c r="Y140"/>
  <c r="X140"/>
  <c r="W140"/>
  <c r="AB138"/>
  <c r="AA138"/>
  <c r="Z138"/>
  <c r="Y138"/>
  <c r="X138"/>
  <c r="W138"/>
  <c r="AB136"/>
  <c r="AA136"/>
  <c r="Z136"/>
  <c r="Y136"/>
  <c r="X136"/>
  <c r="W136"/>
  <c r="AB133"/>
  <c r="AA133"/>
  <c r="Z133"/>
  <c r="Y133"/>
  <c r="X133"/>
  <c r="W133"/>
  <c r="AB131"/>
  <c r="AA131"/>
  <c r="Z131"/>
  <c r="Y131"/>
  <c r="X131"/>
  <c r="W131"/>
  <c r="AB129"/>
  <c r="AA129"/>
  <c r="Z129"/>
  <c r="Y129"/>
  <c r="X129"/>
  <c r="W129"/>
  <c r="AB127"/>
  <c r="AA127"/>
  <c r="Z127"/>
  <c r="Y127"/>
  <c r="X127"/>
  <c r="W127"/>
  <c r="AB125"/>
  <c r="AA125"/>
  <c r="Z125"/>
  <c r="Y125"/>
  <c r="X125"/>
  <c r="W125"/>
  <c r="AB123"/>
  <c r="AA123"/>
  <c r="Z123"/>
  <c r="Y123"/>
  <c r="X123"/>
  <c r="W123"/>
  <c r="AB121"/>
  <c r="AA121"/>
  <c r="Z121"/>
  <c r="Y121"/>
  <c r="X121"/>
  <c r="W121"/>
  <c r="AB119"/>
  <c r="AA119"/>
  <c r="Z119"/>
  <c r="Y119"/>
  <c r="X119"/>
  <c r="W119"/>
  <c r="AB117"/>
  <c r="AA117"/>
  <c r="Z117"/>
  <c r="Y117"/>
  <c r="X117"/>
  <c r="W117"/>
  <c r="AB115"/>
  <c r="AA115"/>
  <c r="Z115"/>
  <c r="Y115"/>
  <c r="X115"/>
  <c r="W115"/>
  <c r="AB113"/>
  <c r="AA113"/>
  <c r="Z113"/>
  <c r="Y113"/>
  <c r="X113"/>
  <c r="W113"/>
  <c r="AB111"/>
  <c r="AA111"/>
  <c r="Z111"/>
  <c r="Y111"/>
  <c r="X111"/>
  <c r="W111"/>
  <c r="AB109"/>
  <c r="AA109"/>
  <c r="Z109"/>
  <c r="Y109"/>
  <c r="X109"/>
  <c r="W109"/>
  <c r="AB107"/>
  <c r="AA107"/>
  <c r="Z107"/>
  <c r="Y107"/>
  <c r="X107"/>
  <c r="W107"/>
  <c r="AB105"/>
  <c r="AA105"/>
  <c r="Z105"/>
  <c r="Y105"/>
  <c r="X105"/>
  <c r="W105"/>
  <c r="AB103"/>
  <c r="AA103"/>
  <c r="Z103"/>
  <c r="Y103"/>
  <c r="X103"/>
  <c r="W103"/>
  <c r="AB101"/>
  <c r="AA101"/>
  <c r="Z101"/>
  <c r="Y101"/>
  <c r="X101"/>
  <c r="W101"/>
  <c r="AB99"/>
  <c r="AA99"/>
  <c r="Z99"/>
  <c r="Y99"/>
  <c r="X99"/>
  <c r="W99"/>
  <c r="AB97"/>
  <c r="AA97"/>
  <c r="Z97"/>
  <c r="Y97"/>
  <c r="X97"/>
  <c r="W97"/>
  <c r="AB95"/>
  <c r="AA95"/>
  <c r="Z95"/>
  <c r="Y95"/>
  <c r="X95"/>
  <c r="W95"/>
  <c r="AB93"/>
  <c r="AA93"/>
  <c r="Z93"/>
  <c r="Y93"/>
  <c r="X93"/>
  <c r="W93"/>
  <c r="AB91"/>
  <c r="AA91"/>
  <c r="Z91"/>
  <c r="Y91"/>
  <c r="X91"/>
  <c r="W91"/>
  <c r="AB89"/>
  <c r="AA89"/>
  <c r="Z89"/>
  <c r="Y89"/>
  <c r="X89"/>
  <c r="W89"/>
  <c r="AB87"/>
  <c r="AA87"/>
  <c r="Z87"/>
  <c r="Y87"/>
  <c r="X87"/>
  <c r="W87"/>
  <c r="AB85"/>
  <c r="AA85"/>
  <c r="Z85"/>
  <c r="Y85"/>
  <c r="X85"/>
  <c r="W85"/>
  <c r="AB83"/>
  <c r="AA83"/>
  <c r="Z83"/>
  <c r="Y83"/>
  <c r="X83"/>
  <c r="W83"/>
  <c r="AB81"/>
  <c r="AA81"/>
  <c r="Z81"/>
  <c r="Y81"/>
  <c r="X81"/>
  <c r="W81"/>
  <c r="AB79"/>
  <c r="AA79"/>
  <c r="Z79"/>
  <c r="Y79"/>
  <c r="X79"/>
  <c r="W79"/>
  <c r="AB77"/>
  <c r="AA77"/>
  <c r="Z77"/>
  <c r="Y77"/>
  <c r="X77"/>
  <c r="W77"/>
  <c r="AB75"/>
  <c r="AA75"/>
  <c r="Z75"/>
  <c r="Y75"/>
  <c r="X75"/>
  <c r="W75"/>
  <c r="AB73"/>
  <c r="AA73"/>
  <c r="Z73"/>
  <c r="Y73"/>
  <c r="X73"/>
  <c r="W73"/>
  <c r="AB71"/>
  <c r="AA71"/>
  <c r="Z71"/>
  <c r="Y71"/>
  <c r="X71"/>
  <c r="W71"/>
  <c r="AB69"/>
  <c r="AA69"/>
  <c r="Z69"/>
  <c r="Y69"/>
  <c r="X69"/>
  <c r="W69"/>
  <c r="AB67"/>
  <c r="AA67"/>
  <c r="Z67"/>
  <c r="Y67"/>
  <c r="X67"/>
  <c r="W67"/>
  <c r="AB65"/>
  <c r="AA65"/>
  <c r="Z65"/>
  <c r="Y65"/>
  <c r="X65"/>
  <c r="W65"/>
  <c r="AB63"/>
  <c r="AA63"/>
  <c r="Z63"/>
  <c r="Y63"/>
  <c r="X63"/>
  <c r="W63"/>
  <c r="AB61"/>
  <c r="AA61"/>
  <c r="Z61"/>
  <c r="Y61"/>
  <c r="X61"/>
  <c r="W61"/>
  <c r="AB59"/>
  <c r="AA59"/>
  <c r="Z59"/>
  <c r="Y59"/>
  <c r="X59"/>
  <c r="W59"/>
  <c r="AB56"/>
  <c r="AA56"/>
  <c r="Z56"/>
  <c r="Y56"/>
  <c r="X56"/>
  <c r="W56"/>
  <c r="AB53"/>
  <c r="AA53"/>
  <c r="Z53"/>
  <c r="Y53"/>
  <c r="X53"/>
  <c r="W53"/>
  <c r="AB51"/>
  <c r="AA51"/>
  <c r="Z51"/>
  <c r="Y51"/>
  <c r="X51"/>
  <c r="W51"/>
  <c r="AB49"/>
  <c r="AA49"/>
  <c r="Z49"/>
  <c r="Y49"/>
  <c r="X49"/>
  <c r="W49"/>
  <c r="AB47"/>
  <c r="AA47"/>
  <c r="Z47"/>
  <c r="Y47"/>
  <c r="X47"/>
  <c r="W47"/>
  <c r="AB45"/>
  <c r="AA45"/>
  <c r="Z45"/>
  <c r="Y45"/>
  <c r="X45"/>
  <c r="W45"/>
  <c r="AB42"/>
  <c r="AA42"/>
  <c r="Z42"/>
  <c r="Y42"/>
  <c r="X42"/>
  <c r="W42"/>
  <c r="AB39"/>
  <c r="AA39"/>
  <c r="Z39"/>
  <c r="Y39"/>
  <c r="X39"/>
  <c r="W39"/>
  <c r="AB36"/>
  <c r="AA36"/>
  <c r="Z36"/>
  <c r="Y36"/>
  <c r="X36"/>
  <c r="W36"/>
  <c r="AB34"/>
  <c r="AA34"/>
  <c r="Z34"/>
  <c r="Y34"/>
  <c r="X34"/>
  <c r="W34"/>
  <c r="AB32"/>
  <c r="AA32"/>
  <c r="Z32"/>
  <c r="Y32"/>
  <c r="X32"/>
  <c r="W32"/>
  <c r="AB30"/>
  <c r="AA30"/>
  <c r="Z30"/>
  <c r="Y30"/>
  <c r="X30"/>
  <c r="W30"/>
  <c r="AB28"/>
  <c r="AA28"/>
  <c r="Z28"/>
  <c r="Y28"/>
  <c r="X28"/>
  <c r="W28"/>
  <c r="AB26"/>
  <c r="AA26"/>
  <c r="Z26"/>
  <c r="Y26"/>
  <c r="X26"/>
  <c r="W26"/>
  <c r="AB23"/>
  <c r="AA23"/>
  <c r="Z23"/>
  <c r="Y23"/>
  <c r="X23"/>
  <c r="W23"/>
  <c r="AB21"/>
  <c r="AA21"/>
  <c r="Z21"/>
  <c r="Y21"/>
  <c r="X21"/>
  <c r="W21"/>
  <c r="AB19"/>
  <c r="AA19"/>
  <c r="Z19"/>
  <c r="Y19"/>
  <c r="X19"/>
  <c r="W19"/>
  <c r="AB17"/>
  <c r="AA17"/>
  <c r="Z17"/>
  <c r="Y17"/>
  <c r="X17"/>
  <c r="W17"/>
  <c r="AB15"/>
  <c r="AA15"/>
  <c r="Z15"/>
  <c r="Y15"/>
  <c r="X15"/>
  <c r="W15"/>
  <c r="AB12"/>
  <c r="AA12"/>
  <c r="Z12"/>
  <c r="Y12"/>
  <c r="X12"/>
  <c r="W12"/>
  <c r="AB10"/>
  <c r="AA10"/>
  <c r="Z10"/>
  <c r="Y10"/>
  <c r="X10"/>
  <c r="W10"/>
  <c r="AB7"/>
  <c r="AA7"/>
  <c r="Z7"/>
  <c r="Y7"/>
  <c r="X7"/>
  <c r="W7"/>
  <c r="AB5"/>
  <c r="AA5"/>
  <c r="Z5"/>
  <c r="Y5"/>
  <c r="X5"/>
  <c r="W5"/>
  <c r="AH267"/>
  <c r="AJ259"/>
  <c r="AF254"/>
  <c r="AH247"/>
  <c r="AJ241"/>
  <c r="AF237"/>
  <c r="AH230"/>
  <c r="AJ224"/>
  <c r="AF219"/>
  <c r="AH213"/>
  <c r="AJ207"/>
  <c r="AF203"/>
  <c r="AH197"/>
  <c r="AJ189"/>
  <c r="AF184"/>
  <c r="AH178"/>
  <c r="AJ172"/>
  <c r="AF167"/>
  <c r="AH161"/>
  <c r="AJ154"/>
  <c r="AF150"/>
  <c r="AH144"/>
  <c r="AJ138"/>
  <c r="AE133"/>
  <c r="AG127"/>
  <c r="AI121"/>
  <c r="AE117"/>
  <c r="AG111"/>
  <c r="AI105"/>
  <c r="AE101"/>
  <c r="AG95"/>
  <c r="AI89"/>
  <c r="AE85"/>
  <c r="AG79"/>
  <c r="AI73"/>
  <c r="AE69"/>
  <c r="AG63"/>
  <c r="AI56"/>
  <c r="AE51"/>
  <c r="AG45"/>
  <c r="AI36"/>
  <c r="AE32"/>
  <c r="AG26"/>
  <c r="AI19"/>
  <c r="AE15"/>
  <c r="AG7"/>
  <c r="AI270"/>
  <c r="AE265"/>
  <c r="AG257"/>
  <c r="AI249"/>
  <c r="AE245"/>
  <c r="AG239"/>
  <c r="AI232"/>
  <c r="AE228"/>
  <c r="AG221"/>
  <c r="AI215"/>
  <c r="AE211"/>
  <c r="AG205"/>
  <c r="AI199"/>
  <c r="AE194"/>
  <c r="AG187"/>
  <c r="AI180"/>
  <c r="AE176"/>
  <c r="AG170"/>
  <c r="AI163"/>
  <c r="AE159"/>
  <c r="AG152"/>
  <c r="AI146"/>
  <c r="AE142"/>
  <c r="AG136"/>
  <c r="AF131"/>
  <c r="AH125"/>
  <c r="AJ119"/>
  <c r="AF115"/>
  <c r="AH109"/>
  <c r="AJ103"/>
  <c r="AF99"/>
  <c r="AH93"/>
  <c r="AJ87"/>
  <c r="AF83"/>
  <c r="AH77"/>
  <c r="AJ71"/>
  <c r="AF67"/>
  <c r="AH61"/>
  <c r="AJ53"/>
  <c r="AF49"/>
  <c r="AH42"/>
  <c r="AJ34"/>
  <c r="AF30"/>
  <c r="AH23"/>
  <c r="AJ17"/>
  <c r="AF12"/>
  <c r="AH5"/>
  <c r="AJ267"/>
  <c r="AF262"/>
  <c r="AH254"/>
  <c r="AJ247"/>
  <c r="AF243"/>
  <c r="AH237"/>
  <c r="AJ230"/>
  <c r="AF226"/>
  <c r="AH219"/>
  <c r="AJ213"/>
  <c r="AF209"/>
  <c r="AH203"/>
  <c r="AJ197"/>
  <c r="AF192"/>
  <c r="AH184"/>
  <c r="AJ178"/>
  <c r="AF174"/>
  <c r="AH167"/>
  <c r="AJ161"/>
  <c r="AF157"/>
  <c r="AH150"/>
  <c r="AJ144"/>
  <c r="AF140"/>
  <c r="AG133"/>
  <c r="AI127"/>
  <c r="AE123"/>
  <c r="AG117"/>
  <c r="AI111"/>
  <c r="AE107"/>
  <c r="AG101"/>
  <c r="AI95"/>
  <c r="AE91"/>
  <c r="AG85"/>
  <c r="AI79"/>
  <c r="AE75"/>
  <c r="AG69"/>
  <c r="AI63"/>
  <c r="AE59"/>
  <c r="AG51"/>
  <c r="AI45"/>
  <c r="AE39"/>
  <c r="AG32"/>
  <c r="AI26"/>
  <c r="AE21"/>
  <c r="AG15"/>
  <c r="AI7"/>
  <c r="AE272"/>
  <c r="AG265"/>
  <c r="AI257"/>
  <c r="AE252"/>
  <c r="AG245"/>
  <c r="AI239"/>
  <c r="AE234"/>
  <c r="AG228"/>
  <c r="AI221"/>
  <c r="AE217"/>
  <c r="AG211"/>
  <c r="AI205"/>
  <c r="AE201"/>
  <c r="AG194"/>
  <c r="AI187"/>
  <c r="AE182"/>
  <c r="AG176"/>
  <c r="AI170"/>
  <c r="AE165"/>
  <c r="AG159"/>
  <c r="AI152"/>
  <c r="AE148"/>
  <c r="AG142"/>
  <c r="AI136"/>
  <c r="AH131"/>
  <c r="AJ125"/>
  <c r="AF121"/>
  <c r="AH115"/>
  <c r="AJ109"/>
  <c r="AF105"/>
  <c r="AH99"/>
  <c r="AJ93"/>
  <c r="AF89"/>
  <c r="AH83"/>
  <c r="AJ77"/>
  <c r="AF73"/>
  <c r="AH67"/>
  <c r="AJ61"/>
  <c r="AF56"/>
  <c r="AH49"/>
  <c r="AJ42"/>
  <c r="AF36"/>
  <c r="AH30"/>
  <c r="AJ23"/>
  <c r="AF19"/>
  <c r="AH12"/>
  <c r="AJ5"/>
  <c r="AF270"/>
  <c r="AH262"/>
  <c r="AJ254"/>
  <c r="AF249"/>
  <c r="AH243"/>
  <c r="AJ237"/>
  <c r="AF232"/>
  <c r="AH226"/>
  <c r="AJ219"/>
  <c r="AF215"/>
  <c r="AH209"/>
  <c r="AJ203"/>
  <c r="AF199"/>
  <c r="AH192"/>
  <c r="AJ184"/>
  <c r="AF180"/>
  <c r="AH174"/>
  <c r="AJ167"/>
  <c r="AF163"/>
  <c r="AH157"/>
  <c r="AJ150"/>
  <c r="AF146"/>
  <c r="AH140"/>
  <c r="AI133"/>
  <c r="AE129"/>
  <c r="AG123"/>
  <c r="AI117"/>
  <c r="AE113"/>
  <c r="AG107"/>
  <c r="AI101"/>
  <c r="AE97"/>
  <c r="AG91"/>
  <c r="AI85"/>
  <c r="AE81"/>
  <c r="AG75"/>
  <c r="AI69"/>
  <c r="AE65"/>
  <c r="AG59"/>
  <c r="AI51"/>
  <c r="AE47"/>
  <c r="AG39"/>
  <c r="AI32"/>
  <c r="AE28"/>
  <c r="AG21"/>
  <c r="AI15"/>
  <c r="AE10"/>
  <c r="AG272"/>
  <c r="AI265"/>
  <c r="AE259"/>
  <c r="AG252"/>
  <c r="AI245"/>
  <c r="AE241"/>
  <c r="AG234"/>
  <c r="AI228"/>
  <c r="AE224"/>
  <c r="AG217"/>
  <c r="AI211"/>
  <c r="AE207"/>
  <c r="AG201"/>
  <c r="AI194"/>
  <c r="AE189"/>
  <c r="AG182"/>
  <c r="AI176"/>
  <c r="AE172"/>
  <c r="AG165"/>
  <c r="AI159"/>
  <c r="AE154"/>
  <c r="AG148"/>
  <c r="AI142"/>
  <c r="AE138"/>
  <c r="AJ131"/>
  <c r="AF127"/>
  <c r="AH121"/>
  <c r="AJ115"/>
  <c r="AF111"/>
  <c r="AH105"/>
  <c r="AJ99"/>
  <c r="AF95"/>
  <c r="AH89"/>
  <c r="AJ83"/>
  <c r="AF79"/>
  <c r="AH73"/>
  <c r="AJ67"/>
  <c r="AF63"/>
  <c r="AH56"/>
  <c r="AJ49"/>
  <c r="AF45"/>
  <c r="AH36"/>
  <c r="AJ30"/>
  <c r="AF26"/>
  <c r="AH19"/>
  <c r="AJ12"/>
  <c r="AF7"/>
  <c r="AH270"/>
  <c r="AJ262"/>
  <c r="AF257"/>
  <c r="AH249"/>
  <c r="AJ243"/>
  <c r="AF239"/>
  <c r="AH232"/>
  <c r="AJ226"/>
  <c r="AF221"/>
  <c r="AH215"/>
  <c r="AJ209"/>
  <c r="AF205"/>
  <c r="AH199"/>
  <c r="AJ192"/>
  <c r="AF187"/>
  <c r="AH180"/>
  <c r="AJ174"/>
  <c r="AF170"/>
  <c r="AH163"/>
  <c r="AJ157"/>
  <c r="AF152"/>
  <c r="AH146"/>
  <c r="AJ140"/>
  <c r="AF136"/>
  <c r="AG129"/>
  <c r="AI123"/>
  <c r="AE119"/>
  <c r="AG113"/>
  <c r="AI107"/>
  <c r="AE103"/>
  <c r="AG97"/>
  <c r="AI91"/>
  <c r="AE87"/>
  <c r="AG81"/>
  <c r="AI75"/>
  <c r="AE71"/>
  <c r="AG65"/>
  <c r="AI59"/>
  <c r="AE53"/>
  <c r="AG47"/>
  <c r="AI39"/>
  <c r="AE34"/>
  <c r="AG28"/>
  <c r="AI21"/>
  <c r="AE17"/>
  <c r="AG10"/>
  <c r="AI272"/>
  <c r="AE267"/>
  <c r="AG259"/>
  <c r="AI252"/>
  <c r="AE247"/>
  <c r="AG241"/>
  <c r="AI234"/>
  <c r="AE230"/>
  <c r="AG224"/>
  <c r="AI217"/>
  <c r="AE213"/>
  <c r="AG207"/>
  <c r="AI201"/>
  <c r="AE197"/>
  <c r="AG189"/>
  <c r="AI182"/>
  <c r="AE178"/>
  <c r="AG172"/>
  <c r="AI165"/>
  <c r="AE161"/>
  <c r="AG154"/>
  <c r="AI148"/>
  <c r="AE144"/>
  <c r="AG138"/>
  <c r="AF133"/>
  <c r="AH127"/>
  <c r="AJ121"/>
  <c r="AF117"/>
  <c r="AH111"/>
  <c r="AJ105"/>
  <c r="AF101"/>
  <c r="AH95"/>
  <c r="AJ89"/>
  <c r="AF85"/>
  <c r="AH79"/>
  <c r="AJ73"/>
  <c r="AF69"/>
  <c r="AH63"/>
  <c r="AJ56"/>
  <c r="AF51"/>
  <c r="AH45"/>
  <c r="AJ36"/>
  <c r="AF32"/>
  <c r="AH26"/>
  <c r="AJ19"/>
  <c r="AF15"/>
  <c r="AH7"/>
  <c r="AJ270"/>
  <c r="AF265"/>
  <c r="AH257"/>
  <c r="AJ249"/>
  <c r="AF245"/>
  <c r="AH239"/>
  <c r="AJ232"/>
  <c r="AF228"/>
  <c r="AH221"/>
  <c r="AJ215"/>
  <c r="AF211"/>
  <c r="AH205"/>
  <c r="AJ199"/>
  <c r="AF194"/>
  <c r="AH187"/>
  <c r="AJ180"/>
  <c r="AF176"/>
  <c r="AH170"/>
  <c r="AJ163"/>
  <c r="AF159"/>
  <c r="AH152"/>
  <c r="AJ146"/>
  <c r="AF142"/>
  <c r="AH136"/>
  <c r="AI129"/>
  <c r="AE125"/>
  <c r="AG119"/>
  <c r="AI113"/>
  <c r="AE109"/>
  <c r="AG103"/>
  <c r="AI97"/>
  <c r="AE93"/>
  <c r="AG87"/>
  <c r="AI81"/>
  <c r="AE77"/>
  <c r="AG71"/>
  <c r="AI65"/>
  <c r="AE61"/>
  <c r="AG53"/>
  <c r="AI47"/>
  <c r="AE42"/>
  <c r="AG34"/>
  <c r="AI28"/>
  <c r="AE23"/>
  <c r="AG17"/>
  <c r="AI10"/>
  <c r="AE5"/>
  <c r="AG267"/>
  <c r="AI259"/>
  <c r="AE254"/>
  <c r="AG247"/>
  <c r="AI241"/>
  <c r="AE237"/>
  <c r="AG230"/>
  <c r="AI224"/>
  <c r="AE219"/>
  <c r="AG213"/>
  <c r="AI207"/>
  <c r="AE203"/>
  <c r="AG197"/>
  <c r="AI189"/>
  <c r="AE184"/>
  <c r="AG178"/>
  <c r="AI172"/>
  <c r="AE167"/>
  <c r="AG161"/>
  <c r="AI154"/>
  <c r="AE150"/>
  <c r="AG144"/>
  <c r="AI138"/>
  <c r="AH133"/>
  <c r="AJ127"/>
  <c r="AF123"/>
  <c r="AH117"/>
  <c r="AJ111"/>
  <c r="AF107"/>
  <c r="AH101"/>
  <c r="AJ95"/>
  <c r="AF91"/>
  <c r="AH85"/>
  <c r="AJ79"/>
  <c r="AF75"/>
  <c r="AH69"/>
  <c r="AJ63"/>
  <c r="AF59"/>
  <c r="AH51"/>
  <c r="AJ45"/>
  <c r="AF39"/>
  <c r="AH32"/>
  <c r="AJ26"/>
  <c r="AF21"/>
  <c r="AH15"/>
  <c r="AJ7"/>
  <c r="AF272"/>
  <c r="AH265"/>
  <c r="AJ257"/>
  <c r="AF252"/>
  <c r="AH245"/>
  <c r="AJ239"/>
  <c r="AF234"/>
  <c r="AH228"/>
  <c r="AJ221"/>
  <c r="AF217"/>
  <c r="AH211"/>
  <c r="AJ205"/>
  <c r="AF201"/>
  <c r="AH194"/>
  <c r="AJ187"/>
  <c r="AF182"/>
  <c r="AH176"/>
  <c r="AJ170"/>
  <c r="AF165"/>
  <c r="AH159"/>
  <c r="AJ152"/>
  <c r="AF148"/>
  <c r="AH142"/>
  <c r="AJ136"/>
  <c r="AE131"/>
  <c r="AG125"/>
  <c r="AI119"/>
  <c r="AE115"/>
  <c r="AG109"/>
  <c r="AI103"/>
  <c r="AE99"/>
  <c r="AG93"/>
  <c r="AI87"/>
  <c r="AE83"/>
  <c r="AG77"/>
  <c r="AI71"/>
  <c r="AE67"/>
  <c r="AG61"/>
  <c r="AI53"/>
  <c r="AE49"/>
  <c r="AG42"/>
  <c r="AI34"/>
  <c r="AE30"/>
  <c r="AG23"/>
  <c r="AI17"/>
  <c r="AE12"/>
  <c r="AG5"/>
  <c r="AI267"/>
  <c r="AE262"/>
  <c r="AG254"/>
  <c r="AI247"/>
  <c r="AE243"/>
  <c r="AG237"/>
  <c r="AI230"/>
  <c r="AE226"/>
  <c r="AG219"/>
  <c r="AI213"/>
  <c r="AE209"/>
  <c r="AG203"/>
  <c r="AI197"/>
  <c r="AE192"/>
  <c r="AG184"/>
  <c r="AI178"/>
  <c r="AE174"/>
  <c r="AG167"/>
  <c r="AI161"/>
  <c r="AE157"/>
  <c r="AG150"/>
  <c r="AI144"/>
  <c r="AE140"/>
  <c r="AJ133"/>
  <c r="AF129"/>
  <c r="AH123"/>
  <c r="AJ117"/>
  <c r="AF113"/>
  <c r="AH107"/>
  <c r="AJ101"/>
  <c r="AF97"/>
  <c r="AH91"/>
  <c r="AJ85"/>
  <c r="AF81"/>
  <c r="AH75"/>
  <c r="AJ69"/>
  <c r="AF65"/>
  <c r="AH59"/>
  <c r="AJ51"/>
  <c r="AF47"/>
  <c r="AH39"/>
  <c r="AJ32"/>
  <c r="AF28"/>
  <c r="AH21"/>
  <c r="AJ15"/>
  <c r="AF10"/>
  <c r="AH272"/>
  <c r="AJ265"/>
  <c r="AF259"/>
  <c r="AH252"/>
  <c r="AJ245"/>
  <c r="AF241"/>
  <c r="AH234"/>
  <c r="AJ228"/>
  <c r="AF224"/>
  <c r="AH217"/>
  <c r="AJ211"/>
  <c r="AF207"/>
  <c r="AH201"/>
  <c r="AJ194"/>
  <c r="AF189"/>
  <c r="AH182"/>
  <c r="AJ176"/>
  <c r="AF172"/>
  <c r="AH165"/>
  <c r="AJ159"/>
  <c r="AF154"/>
  <c r="AH148"/>
  <c r="AJ142"/>
  <c r="AF138"/>
  <c r="AG131"/>
  <c r="AI125"/>
  <c r="AE121"/>
  <c r="AG115"/>
  <c r="AI109"/>
  <c r="AE105"/>
  <c r="AG99"/>
  <c r="AI93"/>
  <c r="AE89"/>
  <c r="AG83"/>
  <c r="AI77"/>
  <c r="AE73"/>
  <c r="AG67"/>
  <c r="AI61"/>
  <c r="AE56"/>
  <c r="AG49"/>
  <c r="AI42"/>
  <c r="AE36"/>
  <c r="AG30"/>
  <c r="AI23"/>
  <c r="AE19"/>
  <c r="AG12"/>
  <c r="AI5"/>
  <c r="AE270"/>
  <c r="AG262"/>
  <c r="AI254"/>
  <c r="AE249"/>
  <c r="AG243"/>
  <c r="AI237"/>
  <c r="AE232"/>
  <c r="AG226"/>
  <c r="AI219"/>
  <c r="AE215"/>
  <c r="AG209"/>
  <c r="AI203"/>
  <c r="AE199"/>
  <c r="AG192"/>
  <c r="AI184"/>
  <c r="AE180"/>
  <c r="AG174"/>
  <c r="AI167"/>
  <c r="AE163"/>
  <c r="AG157"/>
  <c r="AI150"/>
  <c r="AE146"/>
  <c r="AG140"/>
  <c r="AE134"/>
  <c r="AH129"/>
  <c r="AJ123"/>
  <c r="AF119"/>
  <c r="AH113"/>
  <c r="AJ107"/>
  <c r="AF103"/>
  <c r="AH97"/>
  <c r="AJ91"/>
  <c r="AF87"/>
  <c r="AH81"/>
  <c r="AJ75"/>
  <c r="AF71"/>
  <c r="AH65"/>
  <c r="AJ59"/>
  <c r="AF53"/>
  <c r="AH47"/>
  <c r="AJ39"/>
  <c r="AF34"/>
  <c r="AH28"/>
  <c r="AJ21"/>
  <c r="AF17"/>
  <c r="AH10"/>
  <c r="AJ272"/>
  <c r="AF267"/>
  <c r="AH259"/>
  <c r="AJ252"/>
  <c r="AF247"/>
  <c r="AH241"/>
  <c r="AJ234"/>
  <c r="AF230"/>
  <c r="AH224"/>
  <c r="AJ217"/>
  <c r="AF213"/>
  <c r="AH207"/>
  <c r="AJ201"/>
  <c r="AF197"/>
  <c r="AH189"/>
  <c r="AJ182"/>
  <c r="AF178"/>
  <c r="AH172"/>
  <c r="AJ165"/>
  <c r="AF161"/>
  <c r="AH154"/>
  <c r="AJ148"/>
  <c r="AF144"/>
  <c r="AH138"/>
  <c r="AI131"/>
  <c r="AE127"/>
  <c r="AG121"/>
  <c r="AI115"/>
  <c r="AE111"/>
  <c r="AG105"/>
  <c r="AI99"/>
  <c r="AE95"/>
  <c r="AG89"/>
  <c r="AI83"/>
  <c r="AE79"/>
  <c r="AG73"/>
  <c r="AI67"/>
  <c r="AE63"/>
  <c r="AG56"/>
  <c r="AI49"/>
  <c r="AE45"/>
  <c r="AG36"/>
  <c r="AI30"/>
  <c r="AE26"/>
  <c r="AG19"/>
  <c r="AI12"/>
  <c r="AE7"/>
  <c r="AG270"/>
  <c r="AI262"/>
  <c r="AE257"/>
  <c r="AG249"/>
  <c r="AI243"/>
  <c r="AE239"/>
  <c r="AG232"/>
  <c r="AI226"/>
  <c r="AE221"/>
  <c r="AG215"/>
  <c r="AI209"/>
  <c r="AE205"/>
  <c r="AG199"/>
  <c r="AI192"/>
  <c r="AE187"/>
  <c r="AG180"/>
  <c r="AI174"/>
  <c r="AE170"/>
  <c r="AG163"/>
  <c r="AI157"/>
  <c r="AE152"/>
  <c r="AG146"/>
  <c r="AI140"/>
  <c r="AE136"/>
  <c r="AJ129"/>
  <c r="AF125"/>
  <c r="AH119"/>
  <c r="AJ113"/>
  <c r="AF109"/>
  <c r="AH103"/>
  <c r="AJ97"/>
  <c r="AF93"/>
  <c r="AH87"/>
  <c r="AJ81"/>
  <c r="AF77"/>
  <c r="AH71"/>
  <c r="AJ65"/>
  <c r="AF61"/>
  <c r="AH53"/>
  <c r="AJ47"/>
  <c r="AF42"/>
  <c r="AH34"/>
  <c r="AJ28"/>
  <c r="AF23"/>
  <c r="AH17"/>
  <c r="AJ10"/>
  <c r="AF5"/>
  <c r="AN5" l="1"/>
  <c r="AR5"/>
  <c r="AP7"/>
  <c r="AN10"/>
  <c r="AR10"/>
  <c r="AP12"/>
  <c r="AN15"/>
  <c r="AR15"/>
  <c r="AP17"/>
  <c r="AN19"/>
  <c r="AR19"/>
  <c r="AP21"/>
  <c r="AN23"/>
  <c r="AR23"/>
  <c r="AP26"/>
  <c r="AN28"/>
  <c r="AR28"/>
  <c r="AP30"/>
  <c r="AN32"/>
  <c r="AR32"/>
  <c r="AP34"/>
  <c r="AN36"/>
  <c r="AR36"/>
  <c r="AP39"/>
  <c r="AN42"/>
  <c r="AR42"/>
  <c r="AP45"/>
  <c r="AN47"/>
  <c r="AR47"/>
  <c r="AP49"/>
  <c r="AN51"/>
  <c r="AR51"/>
  <c r="AP53"/>
  <c r="AN56"/>
  <c r="AR56"/>
  <c r="AP59"/>
  <c r="AN61"/>
  <c r="AR61"/>
  <c r="AP63"/>
  <c r="AN65"/>
  <c r="AR65"/>
  <c r="AP67"/>
  <c r="AN69"/>
  <c r="AR69"/>
  <c r="AP71"/>
  <c r="AN73"/>
  <c r="AR73"/>
  <c r="AP75"/>
  <c r="AN77"/>
  <c r="AR77"/>
  <c r="AP79"/>
  <c r="AN81"/>
  <c r="AR81"/>
  <c r="AP83"/>
  <c r="AN85"/>
  <c r="AR85"/>
  <c r="AP87"/>
  <c r="AN89"/>
  <c r="AR89"/>
  <c r="AP91"/>
  <c r="AN93"/>
  <c r="AR93"/>
  <c r="AP95"/>
  <c r="AN97"/>
  <c r="AR97"/>
  <c r="AP99"/>
  <c r="AN101"/>
  <c r="AR101"/>
  <c r="AP103"/>
  <c r="AN105"/>
  <c r="AR105"/>
  <c r="AP107"/>
  <c r="AN109"/>
  <c r="AR109"/>
  <c r="AP111"/>
  <c r="AN113"/>
  <c r="AR113"/>
  <c r="AP115"/>
  <c r="AN117"/>
  <c r="AR117"/>
  <c r="AP119"/>
  <c r="AN121"/>
  <c r="AR121"/>
  <c r="AP123"/>
  <c r="AN125"/>
  <c r="AR125"/>
  <c r="AP127"/>
  <c r="AN129"/>
  <c r="AR129"/>
  <c r="AP131"/>
  <c r="AN133"/>
  <c r="AR133"/>
  <c r="AM136"/>
  <c r="AQ136"/>
  <c r="AO138"/>
  <c r="AM140"/>
  <c r="AQ140"/>
  <c r="AO142"/>
  <c r="AM144"/>
  <c r="AQ144"/>
  <c r="AO146"/>
  <c r="AM148"/>
  <c r="AQ148"/>
  <c r="AO150"/>
  <c r="AM152"/>
  <c r="AQ152"/>
  <c r="AO154"/>
  <c r="AM157"/>
  <c r="AQ157"/>
  <c r="AO159"/>
  <c r="AM161"/>
  <c r="AQ161"/>
  <c r="AO163"/>
  <c r="AM165"/>
  <c r="AQ165"/>
  <c r="AO167"/>
  <c r="AM170"/>
  <c r="AQ170"/>
  <c r="AO172"/>
  <c r="AM174"/>
  <c r="AQ174"/>
  <c r="AO176"/>
  <c r="AM178"/>
  <c r="AQ178"/>
  <c r="AO180"/>
  <c r="AM182"/>
  <c r="AQ182"/>
  <c r="AO184"/>
  <c r="AM187"/>
  <c r="AQ187"/>
  <c r="AO189"/>
  <c r="AM192"/>
  <c r="AQ192"/>
  <c r="AO194"/>
  <c r="AM197"/>
  <c r="AQ197"/>
  <c r="AO199"/>
  <c r="AM201"/>
  <c r="AQ201"/>
  <c r="AO203"/>
  <c r="AM205"/>
  <c r="AQ205"/>
  <c r="AO207"/>
  <c r="AM209"/>
  <c r="AQ209"/>
  <c r="AO211"/>
  <c r="AM213"/>
  <c r="AQ213"/>
  <c r="AO215"/>
  <c r="AM217"/>
  <c r="AQ217"/>
  <c r="AO219"/>
  <c r="AM221"/>
  <c r="AQ221"/>
  <c r="AO224"/>
  <c r="AM226"/>
  <c r="AQ226"/>
  <c r="AO228"/>
  <c r="AM230"/>
  <c r="AQ230"/>
  <c r="AO232"/>
  <c r="AM234"/>
  <c r="AQ234"/>
  <c r="AO237"/>
  <c r="AM239"/>
  <c r="AQ239"/>
  <c r="AO241"/>
  <c r="AM243"/>
  <c r="AQ243"/>
  <c r="AO245"/>
  <c r="AM247"/>
  <c r="AQ247"/>
  <c r="AO249"/>
  <c r="AM252"/>
  <c r="AQ252"/>
  <c r="AO254"/>
  <c r="AM257"/>
  <c r="AQ257"/>
  <c r="AO259"/>
  <c r="AM262"/>
  <c r="AQ262"/>
  <c r="AO265"/>
  <c r="AM267"/>
  <c r="AQ267"/>
  <c r="AO270"/>
  <c r="AM272"/>
  <c r="AQ272"/>
  <c r="AO5"/>
  <c r="AM7"/>
  <c r="AQ7"/>
  <c r="AO10"/>
  <c r="AM12"/>
  <c r="AQ12"/>
  <c r="AO15"/>
  <c r="AM17"/>
  <c r="AQ17"/>
  <c r="AO19"/>
  <c r="AM21"/>
  <c r="AQ21"/>
  <c r="AO23"/>
  <c r="AM26"/>
  <c r="AQ26"/>
  <c r="AO28"/>
  <c r="AM30"/>
  <c r="AQ30"/>
  <c r="AO32"/>
  <c r="AM34"/>
  <c r="AQ34"/>
  <c r="AO36"/>
  <c r="AM39"/>
  <c r="AQ39"/>
  <c r="AO42"/>
  <c r="AM45"/>
  <c r="AQ45"/>
  <c r="AO47"/>
  <c r="AM49"/>
  <c r="AQ49"/>
  <c r="AO51"/>
  <c r="AM53"/>
  <c r="AQ53"/>
  <c r="AO56"/>
  <c r="AM59"/>
  <c r="AQ59"/>
  <c r="AO61"/>
  <c r="AM63"/>
  <c r="AQ63"/>
  <c r="AO65"/>
  <c r="AM67"/>
  <c r="AQ67"/>
  <c r="AO69"/>
  <c r="AM71"/>
  <c r="AQ71"/>
  <c r="AO73"/>
  <c r="AM75"/>
  <c r="AQ75"/>
  <c r="AO77"/>
  <c r="AM79"/>
  <c r="AQ79"/>
  <c r="AO81"/>
  <c r="AM83"/>
  <c r="AQ83"/>
  <c r="AO85"/>
  <c r="AM87"/>
  <c r="AQ87"/>
  <c r="AO89"/>
  <c r="AM91"/>
  <c r="AQ91"/>
  <c r="AO93"/>
  <c r="AM95"/>
  <c r="AQ95"/>
  <c r="AO97"/>
  <c r="AM99"/>
  <c r="AQ99"/>
  <c r="AO101"/>
  <c r="AM103"/>
  <c r="AQ103"/>
  <c r="AO105"/>
  <c r="AM107"/>
  <c r="AQ107"/>
  <c r="AO109"/>
  <c r="AM111"/>
  <c r="AQ111"/>
  <c r="AO113"/>
  <c r="AM115"/>
  <c r="AQ115"/>
  <c r="AO117"/>
  <c r="AM119"/>
  <c r="AQ119"/>
  <c r="AO121"/>
  <c r="AM123"/>
  <c r="AQ123"/>
  <c r="AO125"/>
  <c r="AM127"/>
  <c r="AQ127"/>
  <c r="AO129"/>
  <c r="AM131"/>
  <c r="AQ131"/>
  <c r="AO133"/>
  <c r="AN136"/>
  <c r="AR136"/>
  <c r="AP138"/>
  <c r="AN140"/>
  <c r="AR140"/>
  <c r="AP142"/>
  <c r="AN144"/>
  <c r="AR144"/>
  <c r="AP146"/>
  <c r="AN148"/>
  <c r="AR148"/>
  <c r="AP150"/>
  <c r="AN152"/>
  <c r="AR152"/>
  <c r="AP154"/>
  <c r="AN157"/>
  <c r="AR157"/>
  <c r="AP159"/>
  <c r="AN161"/>
  <c r="AR161"/>
  <c r="AP163"/>
  <c r="AN165"/>
  <c r="AR165"/>
  <c r="AP167"/>
  <c r="AN170"/>
  <c r="AR170"/>
  <c r="AP172"/>
  <c r="AN174"/>
  <c r="AR174"/>
  <c r="AP176"/>
  <c r="AN178"/>
  <c r="AR178"/>
  <c r="AP180"/>
  <c r="AN182"/>
  <c r="AR182"/>
  <c r="AP184"/>
  <c r="AN187"/>
  <c r="AR187"/>
  <c r="AP189"/>
  <c r="AN192"/>
  <c r="AR192"/>
  <c r="AP194"/>
  <c r="AN197"/>
  <c r="AR197"/>
  <c r="AP199"/>
  <c r="AN201"/>
  <c r="AR201"/>
  <c r="AP203"/>
  <c r="AN205"/>
  <c r="AR205"/>
  <c r="AP207"/>
  <c r="AN209"/>
  <c r="AR209"/>
  <c r="AP211"/>
  <c r="AN213"/>
  <c r="AR213"/>
  <c r="AP215"/>
  <c r="AN217"/>
  <c r="AR217"/>
  <c r="AP219"/>
  <c r="AN221"/>
  <c r="AR221"/>
  <c r="AP224"/>
  <c r="AN226"/>
  <c r="AR226"/>
  <c r="AP228"/>
  <c r="AN230"/>
  <c r="AR230"/>
  <c r="AP232"/>
  <c r="AN234"/>
  <c r="AR234"/>
  <c r="AP237"/>
  <c r="AN239"/>
  <c r="AR239"/>
  <c r="AP241"/>
  <c r="AN243"/>
  <c r="AR243"/>
  <c r="AP245"/>
  <c r="AN247"/>
  <c r="AR247"/>
  <c r="AP249"/>
  <c r="AN252"/>
  <c r="AR252"/>
  <c r="AP254"/>
  <c r="AN257"/>
  <c r="AR257"/>
  <c r="AP259"/>
  <c r="AN262"/>
  <c r="AR262"/>
  <c r="AP265"/>
  <c r="AN267"/>
  <c r="AR267"/>
  <c r="AP270"/>
  <c r="AN272"/>
  <c r="AR272"/>
  <c r="AP5"/>
  <c r="AN7"/>
  <c r="AR7"/>
  <c r="AP10"/>
  <c r="AN12"/>
  <c r="AR12"/>
  <c r="AP15"/>
  <c r="AN17"/>
  <c r="AR17"/>
  <c r="AP19"/>
  <c r="AN21"/>
  <c r="AR21"/>
  <c r="AP23"/>
  <c r="AN26"/>
  <c r="AR26"/>
  <c r="AP28"/>
  <c r="AN30"/>
  <c r="AR30"/>
  <c r="AP32"/>
  <c r="AN34"/>
  <c r="AR34"/>
  <c r="AP36"/>
  <c r="AN39"/>
  <c r="AR39"/>
  <c r="AP42"/>
  <c r="AN45"/>
  <c r="AR45"/>
  <c r="AP47"/>
  <c r="AN49"/>
  <c r="AR49"/>
  <c r="AP51"/>
  <c r="AN53"/>
  <c r="AR53"/>
  <c r="AP56"/>
  <c r="AN59"/>
  <c r="AR59"/>
  <c r="AP61"/>
  <c r="AN63"/>
  <c r="AR63"/>
  <c r="AP65"/>
  <c r="AN67"/>
  <c r="AR67"/>
  <c r="AP69"/>
  <c r="AN71"/>
  <c r="AR71"/>
  <c r="AP73"/>
  <c r="AN75"/>
  <c r="AR75"/>
  <c r="AP77"/>
  <c r="AN79"/>
  <c r="AR79"/>
  <c r="AP81"/>
  <c r="AN83"/>
  <c r="AR83"/>
  <c r="AP85"/>
  <c r="AN87"/>
  <c r="AR87"/>
  <c r="AP89"/>
  <c r="AN91"/>
  <c r="AR91"/>
  <c r="AP93"/>
  <c r="AN95"/>
  <c r="AR95"/>
  <c r="AP97"/>
  <c r="AN99"/>
  <c r="AR99"/>
  <c r="AP101"/>
  <c r="AN103"/>
  <c r="AR103"/>
  <c r="AP105"/>
  <c r="AN107"/>
  <c r="AR107"/>
  <c r="AP109"/>
  <c r="AN111"/>
  <c r="AR111"/>
  <c r="AP113"/>
  <c r="AN115"/>
  <c r="AR115"/>
  <c r="AP117"/>
  <c r="AN119"/>
  <c r="AR119"/>
  <c r="AP121"/>
  <c r="AN123"/>
  <c r="AR123"/>
  <c r="AP125"/>
  <c r="AN127"/>
  <c r="AR127"/>
  <c r="AP129"/>
  <c r="AN131"/>
  <c r="AR131"/>
  <c r="AP133"/>
  <c r="AO136"/>
  <c r="AM138"/>
  <c r="AQ138"/>
  <c r="AO140"/>
  <c r="AM142"/>
  <c r="AQ142"/>
  <c r="AO144"/>
  <c r="AM146"/>
  <c r="AQ146"/>
  <c r="AO148"/>
  <c r="AM150"/>
  <c r="AQ150"/>
  <c r="AO152"/>
  <c r="AM154"/>
  <c r="AQ154"/>
  <c r="AO157"/>
  <c r="AM159"/>
  <c r="AQ159"/>
  <c r="AO161"/>
  <c r="AM163"/>
  <c r="AQ163"/>
  <c r="AO165"/>
  <c r="AM167"/>
  <c r="AQ167"/>
  <c r="AO170"/>
  <c r="AM172"/>
  <c r="AQ172"/>
  <c r="AO174"/>
  <c r="AM176"/>
  <c r="AQ176"/>
  <c r="AO178"/>
  <c r="AM180"/>
  <c r="AQ180"/>
  <c r="AO182"/>
  <c r="AM184"/>
  <c r="AQ184"/>
  <c r="AO187"/>
  <c r="AM189"/>
  <c r="AQ189"/>
  <c r="AO192"/>
  <c r="AM194"/>
  <c r="AQ194"/>
  <c r="AO197"/>
  <c r="AM199"/>
  <c r="AQ199"/>
  <c r="AO201"/>
  <c r="AM203"/>
  <c r="AQ203"/>
  <c r="AO205"/>
  <c r="AM207"/>
  <c r="AQ207"/>
  <c r="AO209"/>
  <c r="AM211"/>
  <c r="AQ211"/>
  <c r="AO213"/>
  <c r="AM215"/>
  <c r="AQ215"/>
  <c r="AO217"/>
  <c r="AM219"/>
  <c r="AQ219"/>
  <c r="AO221"/>
  <c r="AM224"/>
  <c r="AQ224"/>
  <c r="AO226"/>
  <c r="AM228"/>
  <c r="AQ228"/>
  <c r="AO230"/>
  <c r="AM232"/>
  <c r="AQ232"/>
  <c r="AO234"/>
  <c r="AM237"/>
  <c r="AQ237"/>
  <c r="AO239"/>
  <c r="AM241"/>
  <c r="AQ241"/>
  <c r="AO243"/>
  <c r="AM245"/>
  <c r="AQ245"/>
  <c r="AO247"/>
  <c r="AM249"/>
  <c r="AQ249"/>
  <c r="AO252"/>
  <c r="AM254"/>
  <c r="AQ254"/>
  <c r="AO257"/>
  <c r="AM259"/>
  <c r="AQ259"/>
  <c r="AO262"/>
  <c r="AM265"/>
  <c r="AQ265"/>
  <c r="AO267"/>
  <c r="AM270"/>
  <c r="AQ270"/>
  <c r="AO272"/>
  <c r="AM5"/>
  <c r="AQ5"/>
  <c r="AO7"/>
  <c r="AM10"/>
  <c r="AQ10"/>
  <c r="AO12"/>
  <c r="AM15"/>
  <c r="AQ15"/>
  <c r="AO17"/>
  <c r="AM19"/>
  <c r="AQ19"/>
  <c r="AO21"/>
  <c r="AM23"/>
  <c r="AQ23"/>
  <c r="AO26"/>
  <c r="AM28"/>
  <c r="AQ28"/>
  <c r="AO30"/>
  <c r="AM32"/>
  <c r="AQ32"/>
  <c r="AO34"/>
  <c r="AM36"/>
  <c r="AQ36"/>
  <c r="AO39"/>
  <c r="AM42"/>
  <c r="AQ42"/>
  <c r="AO45"/>
  <c r="AM47"/>
  <c r="AQ47"/>
  <c r="AO49"/>
  <c r="AM51"/>
  <c r="AQ51"/>
  <c r="AO53"/>
  <c r="AM56"/>
  <c r="AQ56"/>
  <c r="AO59"/>
  <c r="AM61"/>
  <c r="AQ61"/>
  <c r="AO63"/>
  <c r="AM65"/>
  <c r="AQ65"/>
  <c r="AO67"/>
  <c r="AM69"/>
  <c r="AQ69"/>
  <c r="AO71"/>
  <c r="AM73"/>
  <c r="AQ73"/>
  <c r="AO75"/>
  <c r="AM77"/>
  <c r="AQ77"/>
  <c r="AO79"/>
  <c r="AM81"/>
  <c r="AQ81"/>
  <c r="AO83"/>
  <c r="AM85"/>
  <c r="AQ85"/>
  <c r="AO87"/>
  <c r="AM89"/>
  <c r="AQ89"/>
  <c r="AO91"/>
  <c r="AM93"/>
  <c r="AQ93"/>
  <c r="AO95"/>
  <c r="AM97"/>
  <c r="AQ97"/>
  <c r="AO99"/>
  <c r="AM101"/>
  <c r="AQ101"/>
  <c r="AO103"/>
  <c r="AM105"/>
  <c r="AQ105"/>
  <c r="AO107"/>
  <c r="AM109"/>
  <c r="AQ109"/>
  <c r="AO111"/>
  <c r="AM113"/>
  <c r="AQ113"/>
  <c r="AO115"/>
  <c r="AM117"/>
  <c r="AQ117"/>
  <c r="AO119"/>
  <c r="AM121"/>
  <c r="AQ121"/>
  <c r="AO123"/>
  <c r="AM125"/>
  <c r="AQ125"/>
  <c r="AO127"/>
  <c r="AM129"/>
  <c r="AQ129"/>
  <c r="AO131"/>
  <c r="AM133"/>
  <c r="AQ133"/>
  <c r="AP136"/>
  <c r="AN138"/>
  <c r="AR138"/>
  <c r="AP140"/>
  <c r="AN142"/>
  <c r="AR142"/>
  <c r="AP144"/>
  <c r="AN146"/>
  <c r="AR146"/>
  <c r="AP148"/>
  <c r="AN150"/>
  <c r="AR150"/>
  <c r="AP152"/>
  <c r="AN154"/>
  <c r="AR154"/>
  <c r="AP157"/>
  <c r="AN159"/>
  <c r="AR159"/>
  <c r="AP161"/>
  <c r="AN163"/>
  <c r="AR163"/>
  <c r="AP165"/>
  <c r="AN167"/>
  <c r="AR167"/>
  <c r="AP170"/>
  <c r="AN172"/>
  <c r="AR172"/>
  <c r="AP174"/>
  <c r="AN176"/>
  <c r="AR176"/>
  <c r="AP178"/>
  <c r="AN180"/>
  <c r="AR180"/>
  <c r="AP182"/>
  <c r="AN184"/>
  <c r="AR184"/>
  <c r="AP187"/>
  <c r="AN189"/>
  <c r="AR189"/>
  <c r="AP192"/>
  <c r="AN194"/>
  <c r="AR194"/>
  <c r="AP197"/>
  <c r="AN199"/>
  <c r="AR199"/>
  <c r="AP201"/>
  <c r="AN203"/>
  <c r="AR203"/>
  <c r="AP205"/>
  <c r="AN207"/>
  <c r="AR207"/>
  <c r="AP209"/>
  <c r="AN211"/>
  <c r="AR211"/>
  <c r="AP213"/>
  <c r="AN215"/>
  <c r="AR215"/>
  <c r="AP217"/>
  <c r="AN219"/>
  <c r="AR219"/>
  <c r="AP221"/>
  <c r="AN224"/>
  <c r="AR224"/>
  <c r="AP226"/>
  <c r="AN228"/>
  <c r="AR228"/>
  <c r="AP230"/>
  <c r="AN232"/>
  <c r="AR232"/>
  <c r="AP234"/>
  <c r="AN237"/>
  <c r="AR237"/>
  <c r="AP239"/>
  <c r="AN241"/>
  <c r="AR241"/>
  <c r="AP243"/>
  <c r="AN245"/>
  <c r="AR245"/>
  <c r="AP247"/>
  <c r="AN249"/>
  <c r="AR249"/>
  <c r="AP252"/>
  <c r="AN254"/>
  <c r="AR254"/>
  <c r="AP257"/>
  <c r="AN259"/>
  <c r="AR259"/>
  <c r="AP262"/>
  <c r="AN265"/>
  <c r="AR265"/>
  <c r="AP267"/>
  <c r="AN270"/>
  <c r="AR270"/>
  <c r="AP272"/>
</calcChain>
</file>

<file path=xl/sharedStrings.xml><?xml version="1.0" encoding="utf-8"?>
<sst xmlns="http://schemas.openxmlformats.org/spreadsheetml/2006/main" count="8786" uniqueCount="1795">
  <si>
    <t>NO.</t>
  </si>
  <si>
    <t>Time</t>
  </si>
  <si>
    <t>B</t>
  </si>
  <si>
    <t>W</t>
  </si>
  <si>
    <t>08:00 ~ 8:50</t>
  </si>
  <si>
    <t>08:55 ~ 9:45</t>
  </si>
  <si>
    <t>09:50 ~ 10:40</t>
  </si>
  <si>
    <t>10:45 ~ 11:35</t>
  </si>
  <si>
    <t>11:40 ~ 12:30</t>
  </si>
  <si>
    <t>01:30 ~ 02:20</t>
  </si>
  <si>
    <t>02:25 ~ 03:15</t>
  </si>
  <si>
    <t>03:20 ~ 04:10</t>
  </si>
  <si>
    <t>04:15 ~ 05:05</t>
  </si>
  <si>
    <t>05:10 ~ 6:00</t>
  </si>
  <si>
    <t>TIME</t>
  </si>
  <si>
    <t>06:05 ~ 07:05</t>
  </si>
  <si>
    <t>LEGEND(1:1)</t>
  </si>
  <si>
    <t>Tutor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</si>
  <si>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</si>
  <si>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</si>
  <si>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</si>
  <si>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</si>
  <si>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</si>
  <si>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</si>
  <si>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</si>
  <si>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</si>
  <si>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</si>
  <si>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</si>
  <si>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TUTOR</t>
  </si>
  <si>
    <t>Period 11</t>
  </si>
  <si>
    <t>TOEIC BRIDGE</t>
  </si>
  <si>
    <t>CLASS SCHEDULE DECEMBER 23, 2015</t>
  </si>
  <si>
    <t>M01</t>
  </si>
  <si>
    <t xml:space="preserve">RINE </t>
  </si>
  <si>
    <t>SC 1:1</t>
  </si>
  <si>
    <t>1:1</t>
  </si>
  <si>
    <t>SC 1:4</t>
  </si>
  <si>
    <t>IELTS BRIDGE</t>
  </si>
  <si>
    <t>NAME</t>
  </si>
  <si>
    <t>1:4</t>
  </si>
  <si>
    <t>CNN</t>
  </si>
  <si>
    <t>ACTIVITY CLASS</t>
  </si>
  <si>
    <r>
      <rPr>
        <sz val="5.5"/>
        <color theme="1"/>
        <rFont val="Tahoma"/>
        <family val="2"/>
      </rPr>
      <t xml:space="preserve">KIM SUNG AH
</t>
    </r>
    <r>
      <rPr>
        <b/>
        <sz val="5.5"/>
        <color theme="1"/>
        <rFont val="Tahoma"/>
        <family val="2"/>
      </rPr>
      <t>LAURA KIM (L4)</t>
    </r>
  </si>
  <si>
    <r>
      <rPr>
        <sz val="5.5"/>
        <rFont val="Tahoma"/>
        <family val="2"/>
      </rPr>
      <t xml:space="preserve">SATO YURIKA
</t>
    </r>
    <r>
      <rPr>
        <b/>
        <sz val="5.5"/>
        <rFont val="Tahoma"/>
        <family val="2"/>
      </rPr>
      <t xml:space="preserve">YURIKA (L3) </t>
    </r>
  </si>
  <si>
    <r>
      <rPr>
        <sz val="5.5"/>
        <rFont val="Tahoma"/>
        <family val="2"/>
      </rPr>
      <t xml:space="preserve">CHEN PO HUNG
</t>
    </r>
    <r>
      <rPr>
        <b/>
        <sz val="5.5"/>
        <rFont val="Tahoma"/>
        <family val="2"/>
      </rPr>
      <t>VIN (L4)</t>
    </r>
  </si>
  <si>
    <r>
      <rPr>
        <sz val="5.5"/>
        <color theme="1"/>
        <rFont val="Tahoma"/>
        <family val="2"/>
      </rPr>
      <t xml:space="preserve">LIN PIN SYUAN
</t>
    </r>
    <r>
      <rPr>
        <b/>
        <sz val="5.5"/>
        <color theme="1"/>
        <rFont val="Tahoma"/>
        <family val="2"/>
      </rPr>
      <t>ZITA LIN (L5) (S)</t>
    </r>
  </si>
  <si>
    <t>TOEIC CLASS</t>
  </si>
  <si>
    <t>NONEL</t>
  </si>
  <si>
    <t>N/A</t>
  </si>
  <si>
    <t>ESL NEW STUDENT</t>
  </si>
  <si>
    <t>RINE</t>
  </si>
  <si>
    <t>M02</t>
  </si>
  <si>
    <t>APRIL</t>
  </si>
  <si>
    <t>ESL OLD STUDENT</t>
  </si>
  <si>
    <r>
      <rPr>
        <sz val="5.5"/>
        <color theme="1"/>
        <rFont val="Tahoma"/>
        <family val="2"/>
      </rPr>
      <t xml:space="preserve">RIKU SAKAMOTO
</t>
    </r>
    <r>
      <rPr>
        <b/>
        <sz val="5.5"/>
        <color theme="1"/>
        <rFont val="Tahoma"/>
        <family val="2"/>
      </rPr>
      <t>RIKU (L6) (W)</t>
    </r>
  </si>
  <si>
    <r>
      <rPr>
        <sz val="5.5"/>
        <color theme="1"/>
        <rFont val="Tahoma"/>
        <family val="2"/>
      </rPr>
      <t xml:space="preserve">ADACHI RYO
</t>
    </r>
    <r>
      <rPr>
        <b/>
        <sz val="5.5"/>
        <color theme="1"/>
        <rFont val="Tahoma"/>
        <family val="2"/>
      </rPr>
      <t xml:space="preserve">RYOTA (L4) </t>
    </r>
  </si>
  <si>
    <r>
      <rPr>
        <sz val="5.5"/>
        <rFont val="Tahoma"/>
        <family val="2"/>
      </rPr>
      <t xml:space="preserve">MAE SHOKO
</t>
    </r>
    <r>
      <rPr>
        <b/>
        <sz val="5.5"/>
        <color theme="1"/>
        <rFont val="Tahoma"/>
        <family val="2"/>
      </rPr>
      <t xml:space="preserve">SHOKO (L3) </t>
    </r>
  </si>
  <si>
    <r>
      <rPr>
        <sz val="5.5"/>
        <rFont val="Tahoma"/>
        <family val="2"/>
      </rPr>
      <t>TAKASHI UKE</t>
    </r>
    <r>
      <rPr>
        <b/>
        <sz val="5.5"/>
        <rFont val="Tahoma"/>
        <family val="2"/>
      </rPr>
      <t xml:space="preserve"> 
UKE</t>
    </r>
  </si>
  <si>
    <t>GROUP CLASS</t>
  </si>
  <si>
    <t xml:space="preserve">GROUP CLASS                </t>
  </si>
  <si>
    <r>
      <rPr>
        <sz val="5.5"/>
        <color theme="1"/>
        <rFont val="Tahoma"/>
        <family val="2"/>
      </rPr>
      <t xml:space="preserve">KWON EUNJIN
</t>
    </r>
    <r>
      <rPr>
        <b/>
        <sz val="5.5"/>
        <color theme="1"/>
        <rFont val="Tahoma"/>
        <family val="2"/>
      </rPr>
      <t xml:space="preserve">ALICCE (L5) </t>
    </r>
  </si>
  <si>
    <r>
      <rPr>
        <sz val="5.5"/>
        <color theme="1"/>
        <rFont val="Tahoma"/>
        <family val="2"/>
      </rPr>
      <t xml:space="preserve">ABDULMALEK OMAR
</t>
    </r>
    <r>
      <rPr>
        <b/>
        <sz val="5.5"/>
        <color theme="1"/>
        <rFont val="Tahoma"/>
        <family val="2"/>
      </rPr>
      <t>MALEK (L3) (L)</t>
    </r>
  </si>
  <si>
    <r>
      <rPr>
        <sz val="5.5"/>
        <color theme="1"/>
        <rFont val="Tahoma"/>
        <family val="2"/>
      </rPr>
      <t>EMURA YUI</t>
    </r>
    <r>
      <rPr>
        <b/>
        <sz val="5.5"/>
        <color theme="1"/>
        <rFont val="Tahoma"/>
        <family val="2"/>
      </rPr>
      <t xml:space="preserve">
EMURA (L5) (S)</t>
    </r>
  </si>
  <si>
    <t>DAVE</t>
  </si>
  <si>
    <t>STAFF</t>
  </si>
  <si>
    <t>DONNA</t>
  </si>
  <si>
    <r>
      <rPr>
        <sz val="5.5"/>
        <rFont val="Tahoma"/>
        <family val="2"/>
      </rPr>
      <t xml:space="preserve">MAKO SAKAMOTO
</t>
    </r>
    <r>
      <rPr>
        <b/>
        <sz val="5.5"/>
        <rFont val="Tahoma"/>
        <family val="2"/>
      </rPr>
      <t>MAKO (L4) (R)</t>
    </r>
  </si>
  <si>
    <t>M03</t>
  </si>
  <si>
    <t>JOY</t>
  </si>
  <si>
    <t>OFFICE DUTY/SS</t>
  </si>
  <si>
    <t>VINZ</t>
  </si>
  <si>
    <t>INTENSIVE</t>
  </si>
  <si>
    <t>M04</t>
  </si>
  <si>
    <t>NIñO</t>
  </si>
  <si>
    <t>POWER INTENSIVE</t>
  </si>
  <si>
    <r>
      <rPr>
        <sz val="5.5"/>
        <color theme="1"/>
        <rFont val="Tahoma"/>
        <family val="2"/>
      </rPr>
      <t xml:space="preserve">CHEN CHING TING
</t>
    </r>
    <r>
      <rPr>
        <b/>
        <sz val="5.5"/>
        <color theme="1"/>
        <rFont val="Tahoma"/>
        <family val="2"/>
      </rPr>
      <t>FION CHEN (L3) (S)</t>
    </r>
  </si>
  <si>
    <r>
      <rPr>
        <sz val="5.5"/>
        <color theme="1"/>
        <rFont val="Tahoma"/>
        <family val="2"/>
      </rPr>
      <t xml:space="preserve">JANG SUNG YEOB
</t>
    </r>
    <r>
      <rPr>
        <b/>
        <sz val="5.5"/>
        <color theme="1"/>
        <rFont val="Tahoma"/>
        <family val="2"/>
      </rPr>
      <t>JACOB (S)</t>
    </r>
  </si>
  <si>
    <r>
      <rPr>
        <sz val="5.5"/>
        <rFont val="Tahoma"/>
        <family val="2"/>
      </rPr>
      <t xml:space="preserve">YOU SEUNGHEE
</t>
    </r>
    <r>
      <rPr>
        <b/>
        <sz val="5.5"/>
        <rFont val="Tahoma"/>
        <family val="2"/>
      </rPr>
      <t xml:space="preserve">YOU (L4) </t>
    </r>
  </si>
  <si>
    <r>
      <rPr>
        <sz val="5.5"/>
        <color theme="1"/>
        <rFont val="Tahoma"/>
        <family val="2"/>
      </rPr>
      <t xml:space="preserve">KUNII AYUMI
</t>
    </r>
    <r>
      <rPr>
        <b/>
        <sz val="5.5"/>
        <color theme="1"/>
        <rFont val="Tahoma"/>
        <family val="2"/>
      </rPr>
      <t>AYUMI (L3)</t>
    </r>
  </si>
  <si>
    <r>
      <rPr>
        <sz val="5.5"/>
        <rFont val="Tahoma"/>
        <family val="2"/>
      </rPr>
      <t xml:space="preserve">IKEDA KAI
</t>
    </r>
    <r>
      <rPr>
        <b/>
        <sz val="5.5"/>
        <rFont val="Tahoma"/>
        <family val="2"/>
      </rPr>
      <t>KAI</t>
    </r>
  </si>
  <si>
    <t xml:space="preserve">JOVY </t>
  </si>
  <si>
    <t>NINO</t>
  </si>
  <si>
    <r>
      <rPr>
        <sz val="5.5"/>
        <color theme="1"/>
        <rFont val="Tahoma"/>
        <family val="2"/>
      </rPr>
      <t xml:space="preserve">OSHIRO RYO
</t>
    </r>
    <r>
      <rPr>
        <b/>
        <sz val="5.5"/>
        <color theme="1"/>
        <rFont val="Tahoma"/>
        <family val="2"/>
      </rPr>
      <t>OSHIRO (L4) (R)</t>
    </r>
  </si>
  <si>
    <r>
      <rPr>
        <sz val="5.5"/>
        <color theme="1"/>
        <rFont val="Tahoma"/>
        <family val="2"/>
      </rPr>
      <t xml:space="preserve">BAEINHEE
</t>
    </r>
    <r>
      <rPr>
        <b/>
        <sz val="5.5"/>
        <color theme="1"/>
        <rFont val="Tahoma"/>
        <family val="2"/>
      </rPr>
      <t>HENRY (L5) (R)</t>
    </r>
  </si>
  <si>
    <t>M05</t>
  </si>
  <si>
    <t>CECILE</t>
  </si>
  <si>
    <t>1:4(GROUP CLASS)</t>
  </si>
  <si>
    <t>M06</t>
  </si>
  <si>
    <t>CRESTINE</t>
  </si>
  <si>
    <r>
      <rPr>
        <sz val="5.5"/>
        <rFont val="Tahoma"/>
        <family val="2"/>
      </rPr>
      <t xml:space="preserve">HASEGAWA TAKEFUMI
</t>
    </r>
    <r>
      <rPr>
        <b/>
        <sz val="5.5"/>
        <rFont val="Tahoma"/>
        <family val="2"/>
      </rPr>
      <t>TAKESHI</t>
    </r>
  </si>
  <si>
    <r>
      <rPr>
        <sz val="5.5"/>
        <color theme="1"/>
        <rFont val="Tahoma"/>
        <family val="2"/>
      </rPr>
      <t xml:space="preserve">HOSOYA RIKO
</t>
    </r>
    <r>
      <rPr>
        <b/>
        <sz val="5.5"/>
        <color theme="1"/>
        <rFont val="Tahoma"/>
        <family val="2"/>
      </rPr>
      <t xml:space="preserve">RIKO (L4) </t>
    </r>
  </si>
  <si>
    <r>
      <rPr>
        <sz val="5.5"/>
        <color theme="1"/>
        <rFont val="Tahoma"/>
        <family val="2"/>
      </rPr>
      <t xml:space="preserve">TING HSUN
</t>
    </r>
    <r>
      <rPr>
        <b/>
        <sz val="5.5"/>
        <color theme="1"/>
        <rFont val="Tahoma"/>
        <family val="2"/>
      </rPr>
      <t xml:space="preserve">WILL (L4) </t>
    </r>
  </si>
  <si>
    <r>
      <rPr>
        <sz val="5.5"/>
        <rFont val="Tahoma"/>
        <family val="2"/>
      </rPr>
      <t xml:space="preserve">HOU CHI HONG
</t>
    </r>
    <r>
      <rPr>
        <b/>
        <sz val="5.5"/>
        <rFont val="Tahoma"/>
        <family val="2"/>
      </rPr>
      <t>MATT HOU (L5) (L)</t>
    </r>
  </si>
  <si>
    <r>
      <rPr>
        <sz val="5.5"/>
        <color theme="1"/>
        <rFont val="Tahoma"/>
        <family val="2"/>
      </rPr>
      <t xml:space="preserve">WANG WAN TING
</t>
    </r>
    <r>
      <rPr>
        <b/>
        <sz val="5.5"/>
        <color theme="1"/>
        <rFont val="Tahoma"/>
        <family val="2"/>
      </rPr>
      <t>IVY (L4) (S)</t>
    </r>
  </si>
  <si>
    <r>
      <rPr>
        <sz val="5.5"/>
        <rFont val="Tahoma"/>
        <family val="2"/>
      </rPr>
      <t xml:space="preserve">CHEN MEI PING
</t>
    </r>
    <r>
      <rPr>
        <b/>
        <sz val="5.5"/>
        <rFont val="Tahoma"/>
        <family val="2"/>
      </rPr>
      <t>IVY CHEN (L5)  (S)</t>
    </r>
  </si>
  <si>
    <r>
      <rPr>
        <sz val="5.5"/>
        <rFont val="Tahoma"/>
        <family val="2"/>
      </rPr>
      <t xml:space="preserve">ABDULLAH ADEL AWADH
</t>
    </r>
    <r>
      <rPr>
        <b/>
        <sz val="5.5"/>
        <rFont val="Tahoma"/>
        <family val="2"/>
      </rPr>
      <t>SADI (L3) (S)</t>
    </r>
  </si>
  <si>
    <r>
      <rPr>
        <sz val="5.5"/>
        <rFont val="Tahoma"/>
        <family val="2"/>
      </rPr>
      <t xml:space="preserve">NGUYEN DUC HOANG
</t>
    </r>
    <r>
      <rPr>
        <b/>
        <sz val="5.5"/>
        <rFont val="Tahoma"/>
        <family val="2"/>
      </rPr>
      <t>VICTOR (L4) (L)</t>
    </r>
  </si>
  <si>
    <r>
      <rPr>
        <sz val="5.5"/>
        <color theme="1"/>
        <rFont val="Tahoma"/>
        <family val="2"/>
      </rPr>
      <t xml:space="preserve">KIMJIHYE
</t>
    </r>
    <r>
      <rPr>
        <b/>
        <sz val="5.5"/>
        <color theme="1"/>
        <rFont val="Tahoma"/>
        <family val="2"/>
      </rPr>
      <t>JEA JEA (L4) (R)</t>
    </r>
  </si>
  <si>
    <t>IELTS(SC 1:1)</t>
  </si>
  <si>
    <t>M07</t>
  </si>
  <si>
    <t>FRANCIS</t>
  </si>
  <si>
    <t>TOEIC G(SC 1:1)</t>
  </si>
  <si>
    <r>
      <rPr>
        <sz val="5.5"/>
        <rFont val="Tahoma"/>
        <family val="2"/>
      </rPr>
      <t xml:space="preserve">CHEN YI CHIEH
</t>
    </r>
    <r>
      <rPr>
        <b/>
        <sz val="5.5"/>
        <rFont val="Tahoma"/>
        <family val="2"/>
      </rPr>
      <t>SEASON</t>
    </r>
  </si>
  <si>
    <r>
      <rPr>
        <sz val="5.5"/>
        <rFont val="Tahoma"/>
        <family val="2"/>
      </rPr>
      <t xml:space="preserve">WU YI HSUAN
</t>
    </r>
    <r>
      <rPr>
        <b/>
        <sz val="5.5"/>
        <rFont val="Tahoma"/>
        <family val="2"/>
      </rPr>
      <t>DENNIS</t>
    </r>
  </si>
  <si>
    <r>
      <rPr>
        <sz val="5.5"/>
        <color theme="1"/>
        <rFont val="Tahoma"/>
        <family val="2"/>
      </rPr>
      <t xml:space="preserve">LU SHIH MING
</t>
    </r>
    <r>
      <rPr>
        <b/>
        <sz val="5.5"/>
        <color theme="1"/>
        <rFont val="Tahoma"/>
        <family val="2"/>
      </rPr>
      <t>ELSON (L4) (S)</t>
    </r>
  </si>
  <si>
    <r>
      <rPr>
        <sz val="5.5"/>
        <color theme="1"/>
        <rFont val="Tahoma"/>
        <family val="2"/>
      </rPr>
      <t>HYUNJUNG KIM</t>
    </r>
    <r>
      <rPr>
        <b/>
        <sz val="5.5"/>
        <color theme="1"/>
        <rFont val="Tahoma"/>
        <family val="2"/>
      </rPr>
      <t xml:space="preserve">
SISTINA (l4) (S)</t>
    </r>
  </si>
  <si>
    <t>A.TEAM LEADER DUTY</t>
  </si>
  <si>
    <t>ROY</t>
  </si>
  <si>
    <t>BUSINESS(SC1:1)</t>
  </si>
  <si>
    <t>M08</t>
  </si>
  <si>
    <t>IERENE/YVETTE</t>
  </si>
  <si>
    <t>WH(SC1:1)</t>
  </si>
  <si>
    <t>BUSINESS GROUP CLASS</t>
  </si>
  <si>
    <r>
      <rPr>
        <sz val="5.5"/>
        <color theme="1"/>
        <rFont val="Tahoma"/>
        <family val="2"/>
      </rPr>
      <t>HYUNJUNG KIM</t>
    </r>
    <r>
      <rPr>
        <b/>
        <sz val="5.5"/>
        <color theme="1"/>
        <rFont val="Tahoma"/>
        <family val="2"/>
      </rPr>
      <t xml:space="preserve">
SISTINA (l4) (L) IRENE</t>
    </r>
  </si>
  <si>
    <r>
      <rPr>
        <sz val="5.5"/>
        <rFont val="Tahoma"/>
        <family val="2"/>
      </rPr>
      <t xml:space="preserve">SHIN KYUNG MI
</t>
    </r>
    <r>
      <rPr>
        <b/>
        <sz val="5.5"/>
        <color theme="1"/>
        <rFont val="Tahoma"/>
        <family val="2"/>
      </rPr>
      <t>LINA (L3) (W) YVETTE</t>
    </r>
  </si>
  <si>
    <t>TEAM LEADER DUTY</t>
  </si>
  <si>
    <t>Tesol(SC1:1)</t>
  </si>
  <si>
    <t>IRENE</t>
  </si>
  <si>
    <t>M09</t>
  </si>
  <si>
    <t xml:space="preserve">RAME </t>
  </si>
  <si>
    <r>
      <rPr>
        <sz val="5.5"/>
        <color theme="1"/>
        <rFont val="Tahoma"/>
        <family val="2"/>
      </rPr>
      <t>HYUNJUNG KIM</t>
    </r>
    <r>
      <rPr>
        <b/>
        <sz val="5.5"/>
        <color theme="1"/>
        <rFont val="Tahoma"/>
        <family val="2"/>
      </rPr>
      <t xml:space="preserve">
SISTINA (l4) (R) </t>
    </r>
  </si>
  <si>
    <t>SC1:4</t>
  </si>
  <si>
    <t>RAME</t>
  </si>
  <si>
    <r>
      <rPr>
        <sz val="5.5"/>
        <rFont val="Tahoma"/>
        <family val="2"/>
      </rPr>
      <t xml:space="preserve">YASUMATSU HANAKO
</t>
    </r>
    <r>
      <rPr>
        <b/>
        <sz val="5.5"/>
        <rFont val="Tahoma"/>
        <family val="2"/>
      </rPr>
      <t>HANAKO (L6) (R)</t>
    </r>
  </si>
  <si>
    <r>
      <rPr>
        <sz val="5.5"/>
        <rFont val="Tahoma"/>
        <family val="2"/>
      </rPr>
      <t xml:space="preserve">VU THI HOANG DUOC
</t>
    </r>
    <r>
      <rPr>
        <b/>
        <sz val="5.5"/>
        <rFont val="Tahoma"/>
        <family val="2"/>
      </rPr>
      <t>DUOC (L5) (R)</t>
    </r>
  </si>
  <si>
    <t>M10</t>
  </si>
  <si>
    <t>LILIBETH</t>
  </si>
  <si>
    <r>
      <rPr>
        <sz val="5.5"/>
        <color theme="1"/>
        <rFont val="Tahoma"/>
        <family val="2"/>
      </rPr>
      <t xml:space="preserve">SUGIHARA SHU
</t>
    </r>
    <r>
      <rPr>
        <b/>
        <sz val="5.5"/>
        <color theme="1"/>
        <rFont val="Tahoma"/>
        <family val="2"/>
      </rPr>
      <t xml:space="preserve">SHU (L5) </t>
    </r>
  </si>
  <si>
    <r>
      <rPr>
        <sz val="5.5"/>
        <rFont val="Tahoma"/>
        <family val="2"/>
      </rPr>
      <t xml:space="preserve">NANNO TOMOYUKI
</t>
    </r>
    <r>
      <rPr>
        <b/>
        <sz val="5.5"/>
        <rFont val="Tahoma"/>
        <family val="2"/>
      </rPr>
      <t>NANNO</t>
    </r>
  </si>
  <si>
    <r>
      <rPr>
        <sz val="5.5"/>
        <rFont val="Tahoma"/>
        <family val="2"/>
      </rPr>
      <t xml:space="preserve">CHEN MEI PING
</t>
    </r>
    <r>
      <rPr>
        <b/>
        <sz val="5.5"/>
        <rFont val="Tahoma"/>
        <family val="2"/>
      </rPr>
      <t>IVY CHEN  (L5)  (L)</t>
    </r>
  </si>
  <si>
    <t>OFFICE STAFF</t>
  </si>
  <si>
    <r>
      <rPr>
        <sz val="5.5"/>
        <rFont val="Tahoma"/>
        <family val="2"/>
      </rPr>
      <t xml:space="preserve">NGUYEN DUC HOANG
</t>
    </r>
    <r>
      <rPr>
        <b/>
        <sz val="5.5"/>
        <rFont val="Tahoma"/>
        <family val="2"/>
      </rPr>
      <t>VICTOR (L4) (S)</t>
    </r>
  </si>
  <si>
    <r>
      <rPr>
        <sz val="5.5"/>
        <color theme="1"/>
        <rFont val="Tahoma"/>
        <family val="2"/>
      </rPr>
      <t xml:space="preserve">ALZAHRANI, ABDULRAHMAN 
</t>
    </r>
    <r>
      <rPr>
        <b/>
        <sz val="5.5"/>
        <color theme="1"/>
        <rFont val="Tahoma"/>
        <family val="2"/>
      </rPr>
      <t>ALBERT (L3) (S)</t>
    </r>
  </si>
  <si>
    <t>M11</t>
  </si>
  <si>
    <t>JOHN</t>
  </si>
  <si>
    <r>
      <rPr>
        <sz val="5.5"/>
        <color theme="1"/>
        <rFont val="Tahoma"/>
        <family val="2"/>
      </rPr>
      <t xml:space="preserve">HASHIMOTO HIROMI
</t>
    </r>
    <r>
      <rPr>
        <b/>
        <sz val="5.5"/>
        <color theme="1"/>
        <rFont val="Tahoma"/>
        <family val="2"/>
      </rPr>
      <t>MIX (L3) (S)</t>
    </r>
  </si>
  <si>
    <r>
      <rPr>
        <sz val="5.5"/>
        <rFont val="Tahoma"/>
        <family val="2"/>
      </rPr>
      <t xml:space="preserve">FUJITA MIHARU
</t>
    </r>
    <r>
      <rPr>
        <b/>
        <sz val="5.5"/>
        <rFont val="Tahoma"/>
        <family val="2"/>
      </rPr>
      <t>FUJI (L4) (S)</t>
    </r>
  </si>
  <si>
    <r>
      <rPr>
        <sz val="5.5"/>
        <rFont val="Tahoma"/>
        <family val="2"/>
      </rPr>
      <t xml:space="preserve">WATANABE CHIE
</t>
    </r>
    <r>
      <rPr>
        <b/>
        <sz val="5.5"/>
        <rFont val="Tahoma"/>
        <family val="2"/>
      </rPr>
      <t>CHI (L2) (S)</t>
    </r>
  </si>
  <si>
    <r>
      <rPr>
        <sz val="5.5"/>
        <color theme="1"/>
        <rFont val="Tahoma"/>
        <family val="2"/>
      </rPr>
      <t xml:space="preserve">WEI CHU CHUN
</t>
    </r>
    <r>
      <rPr>
        <b/>
        <sz val="5.5"/>
        <color theme="1"/>
        <rFont val="Tahoma"/>
        <family val="2"/>
      </rPr>
      <t>JING (L4) (S)</t>
    </r>
  </si>
  <si>
    <t>M12</t>
  </si>
  <si>
    <t>CORY</t>
  </si>
  <si>
    <r>
      <rPr>
        <sz val="5.5"/>
        <color theme="1"/>
        <rFont val="Tahoma"/>
        <family val="2"/>
      </rPr>
      <t xml:space="preserve">JANG BOYOUNG
</t>
    </r>
    <r>
      <rPr>
        <b/>
        <sz val="5.5"/>
        <color theme="1"/>
        <rFont val="Tahoma"/>
        <family val="2"/>
      </rPr>
      <t>RAILY (L4) (W)</t>
    </r>
  </si>
  <si>
    <r>
      <rPr>
        <sz val="5.5"/>
        <color theme="1"/>
        <rFont val="Tahoma"/>
        <family val="2"/>
      </rPr>
      <t xml:space="preserve">CHANG CHENG TA
</t>
    </r>
    <r>
      <rPr>
        <b/>
        <sz val="5.5"/>
        <color theme="1"/>
        <rFont val="Tahoma"/>
        <family val="2"/>
      </rPr>
      <t>ANDY (L5) (S)</t>
    </r>
  </si>
  <si>
    <r>
      <rPr>
        <sz val="5.5"/>
        <color theme="1"/>
        <rFont val="Tahoma"/>
        <family val="2"/>
      </rPr>
      <t xml:space="preserve">LU SHIH MING
</t>
    </r>
    <r>
      <rPr>
        <b/>
        <sz val="5.5"/>
        <color theme="1"/>
        <rFont val="Tahoma"/>
        <family val="2"/>
      </rPr>
      <t>ELSON (L4) (R)</t>
    </r>
  </si>
  <si>
    <r>
      <rPr>
        <sz val="5.5"/>
        <color theme="1"/>
        <rFont val="Tahoma"/>
        <family val="2"/>
      </rPr>
      <t>PARK CHAEEUN</t>
    </r>
    <r>
      <rPr>
        <b/>
        <sz val="5.5"/>
        <color theme="1"/>
        <rFont val="Tahoma"/>
        <family val="2"/>
      </rPr>
      <t xml:space="preserve">
VELY (L3) (W)</t>
    </r>
  </si>
  <si>
    <r>
      <rPr>
        <sz val="5.5"/>
        <color theme="1"/>
        <rFont val="Tahoma"/>
        <family val="2"/>
      </rPr>
      <t>EMURA YUI</t>
    </r>
    <r>
      <rPr>
        <b/>
        <sz val="5.5"/>
        <color theme="1"/>
        <rFont val="Tahoma"/>
        <family val="2"/>
      </rPr>
      <t xml:space="preserve">
EMURA (L5) (L)</t>
    </r>
  </si>
  <si>
    <r>
      <rPr>
        <sz val="5.5"/>
        <color theme="1"/>
        <rFont val="Tahoma"/>
        <family val="2"/>
      </rPr>
      <t xml:space="preserve">TSAI HUI CHING
</t>
    </r>
    <r>
      <rPr>
        <b/>
        <sz val="5.5"/>
        <color theme="1"/>
        <rFont val="Tahoma"/>
        <family val="2"/>
      </rPr>
      <t xml:space="preserve">NINA (L4) </t>
    </r>
  </si>
  <si>
    <r>
      <rPr>
        <sz val="5.5"/>
        <rFont val="Tahoma"/>
        <family val="2"/>
      </rPr>
      <t xml:space="preserve">HARAMAKI AKIKO
</t>
    </r>
    <r>
      <rPr>
        <b/>
        <sz val="5.5"/>
        <rFont val="Tahoma"/>
        <family val="2"/>
      </rPr>
      <t>AKKO</t>
    </r>
  </si>
  <si>
    <r>
      <rPr>
        <sz val="5.5"/>
        <color theme="1"/>
        <rFont val="Tahoma"/>
        <family val="2"/>
      </rPr>
      <t xml:space="preserve">YUN HYEONWOONG
</t>
    </r>
    <r>
      <rPr>
        <b/>
        <sz val="5.5"/>
        <color theme="1"/>
        <rFont val="Tahoma"/>
        <family val="2"/>
      </rPr>
      <t>HESSER (L3)</t>
    </r>
  </si>
  <si>
    <r>
      <rPr>
        <sz val="5.5"/>
        <color theme="1"/>
        <rFont val="Tahoma"/>
        <family val="2"/>
      </rPr>
      <t xml:space="preserve">NISHIO KANAMI
</t>
    </r>
    <r>
      <rPr>
        <b/>
        <sz val="5.5"/>
        <color theme="1"/>
        <rFont val="Tahoma"/>
        <family val="2"/>
      </rPr>
      <t>KANA (L5) (W)</t>
    </r>
  </si>
  <si>
    <t>MARI</t>
  </si>
  <si>
    <t>M13</t>
  </si>
  <si>
    <t>CHA-CHA</t>
  </si>
  <si>
    <r>
      <rPr>
        <sz val="5.5"/>
        <color theme="1"/>
        <rFont val="Tahoma"/>
        <family val="2"/>
      </rPr>
      <t>TATSUMI CHISATO
CHII</t>
    </r>
    <r>
      <rPr>
        <b/>
        <sz val="5.5"/>
        <color theme="1"/>
        <rFont val="Tahoma"/>
        <family val="2"/>
      </rPr>
      <t xml:space="preserve"> (L4) (S)</t>
    </r>
  </si>
  <si>
    <t>JAFFAR</t>
  </si>
  <si>
    <t>CHA CHA</t>
  </si>
  <si>
    <t>M14</t>
  </si>
  <si>
    <t>MAFE</t>
  </si>
  <si>
    <r>
      <rPr>
        <sz val="5.5"/>
        <rFont val="Tahoma"/>
        <family val="2"/>
      </rPr>
      <t>ERIKA KAKUTA</t>
    </r>
    <r>
      <rPr>
        <b/>
        <sz val="5.5"/>
        <rFont val="Tahoma"/>
        <family val="2"/>
      </rPr>
      <t xml:space="preserve">
ERIKA (R)</t>
    </r>
  </si>
  <si>
    <r>
      <rPr>
        <sz val="5.5"/>
        <rFont val="Tahoma"/>
        <family val="2"/>
      </rPr>
      <t xml:space="preserve">LEE JUHUN
</t>
    </r>
    <r>
      <rPr>
        <b/>
        <sz val="5.5"/>
        <rFont val="Tahoma"/>
        <family val="2"/>
      </rPr>
      <t>ABRAHAM (L5)</t>
    </r>
  </si>
  <si>
    <r>
      <rPr>
        <sz val="5.5"/>
        <color theme="1"/>
        <rFont val="Tahoma"/>
        <family val="2"/>
      </rPr>
      <t>HATORI</t>
    </r>
    <r>
      <rPr>
        <sz val="5.5"/>
        <color theme="1"/>
        <rFont val="SimSun"/>
      </rPr>
      <t>　</t>
    </r>
    <r>
      <rPr>
        <sz val="5.5"/>
        <color theme="1"/>
        <rFont val="Tahoma"/>
        <family val="2"/>
      </rPr>
      <t xml:space="preserve">YUKA
</t>
    </r>
    <r>
      <rPr>
        <b/>
        <sz val="5.5"/>
        <color theme="1"/>
        <rFont val="Tahoma"/>
        <family val="2"/>
      </rPr>
      <t>YUKA (L4) (S)</t>
    </r>
  </si>
  <si>
    <r>
      <rPr>
        <sz val="5.5"/>
        <color theme="1"/>
        <rFont val="Tahoma"/>
        <family val="2"/>
      </rPr>
      <t xml:space="preserve">LU YEH HSIN
</t>
    </r>
    <r>
      <rPr>
        <b/>
        <sz val="5.5"/>
        <color theme="1"/>
        <rFont val="Tahoma"/>
        <family val="2"/>
      </rPr>
      <t>LUME (L4) (S)</t>
    </r>
  </si>
  <si>
    <r>
      <rPr>
        <sz val="5.5"/>
        <rFont val="Tahoma"/>
        <family val="2"/>
      </rPr>
      <t xml:space="preserve">WATANABE CHIE
</t>
    </r>
    <r>
      <rPr>
        <b/>
        <sz val="5.5"/>
        <rFont val="Tahoma"/>
        <family val="2"/>
      </rPr>
      <t>CHI (L2) (L)</t>
    </r>
  </si>
  <si>
    <t>VICKY</t>
  </si>
  <si>
    <t>M15</t>
  </si>
  <si>
    <t>SHYR</t>
  </si>
  <si>
    <r>
      <rPr>
        <sz val="5.5"/>
        <color theme="1"/>
        <rFont val="Tahoma"/>
        <family val="2"/>
      </rPr>
      <t>HATORI</t>
    </r>
    <r>
      <rPr>
        <sz val="5.5"/>
        <color theme="1"/>
        <rFont val="SimSun"/>
      </rPr>
      <t>　</t>
    </r>
    <r>
      <rPr>
        <sz val="5.5"/>
        <color theme="1"/>
        <rFont val="Tahoma"/>
        <family val="2"/>
      </rPr>
      <t xml:space="preserve">YUKA
</t>
    </r>
    <r>
      <rPr>
        <b/>
        <sz val="5.5"/>
        <color theme="1"/>
        <rFont val="Tahoma"/>
        <family val="2"/>
      </rPr>
      <t>YUKA (L4) (L)</t>
    </r>
  </si>
  <si>
    <r>
      <rPr>
        <sz val="5.5"/>
        <color theme="1"/>
        <rFont val="Tahoma"/>
        <family val="2"/>
      </rPr>
      <t xml:space="preserve">LIN JUI HUA
</t>
    </r>
    <r>
      <rPr>
        <b/>
        <sz val="5.5"/>
        <color theme="1"/>
        <rFont val="Tahoma"/>
        <family val="2"/>
      </rPr>
      <t xml:space="preserve">AMBER (L5) </t>
    </r>
  </si>
  <si>
    <r>
      <rPr>
        <sz val="5.5"/>
        <color theme="1"/>
        <rFont val="Tahoma"/>
        <family val="2"/>
      </rPr>
      <t xml:space="preserve">JANG BOYOUNG
</t>
    </r>
    <r>
      <rPr>
        <b/>
        <sz val="5.5"/>
        <color theme="1"/>
        <rFont val="Tahoma"/>
        <family val="2"/>
      </rPr>
      <t>RAILY (L4) (R)</t>
    </r>
  </si>
  <si>
    <t>GINA</t>
  </si>
  <si>
    <t>M16</t>
  </si>
  <si>
    <t>ROXANNE</t>
  </si>
  <si>
    <t xml:space="preserve">GROUP CLASS       </t>
  </si>
  <si>
    <r>
      <rPr>
        <sz val="5.5"/>
        <color theme="1"/>
        <rFont val="Tahoma"/>
        <family val="2"/>
      </rPr>
      <t xml:space="preserve">YUN HYEONWOONG
</t>
    </r>
    <r>
      <rPr>
        <b/>
        <sz val="5.5"/>
        <color theme="1"/>
        <rFont val="Tahoma"/>
        <family val="2"/>
      </rPr>
      <t>HESSER (L3) (R)</t>
    </r>
  </si>
  <si>
    <r>
      <rPr>
        <sz val="5.5"/>
        <color theme="1"/>
        <rFont val="Tahoma"/>
        <family val="2"/>
      </rPr>
      <t xml:space="preserve">JANG BOYOUNG
</t>
    </r>
    <r>
      <rPr>
        <b/>
        <sz val="5.5"/>
        <color theme="1"/>
        <rFont val="Tahoma"/>
        <family val="2"/>
      </rPr>
      <t>RAILY (L4) (L)</t>
    </r>
  </si>
  <si>
    <r>
      <t xml:space="preserve">TAHIR ALBAIDHNI
</t>
    </r>
    <r>
      <rPr>
        <b/>
        <sz val="5.5"/>
        <rFont val="Times New Roman"/>
        <family val="1"/>
      </rPr>
      <t xml:space="preserve">TAHIR (L3) (S) </t>
    </r>
  </si>
  <si>
    <r>
      <rPr>
        <sz val="5.5"/>
        <color theme="1"/>
        <rFont val="Tahoma"/>
        <family val="2"/>
      </rPr>
      <t xml:space="preserve">JEE JAE UK
</t>
    </r>
    <r>
      <rPr>
        <b/>
        <sz val="5.5"/>
        <color theme="1"/>
        <rFont val="Tahoma"/>
        <family val="2"/>
      </rPr>
      <t>EVAN (L5) (W)</t>
    </r>
  </si>
  <si>
    <r>
      <rPr>
        <sz val="5.5"/>
        <rFont val="Tahoma"/>
        <family val="2"/>
      </rPr>
      <t xml:space="preserve">TAKUHIRO ISHIHARA
</t>
    </r>
    <r>
      <rPr>
        <b/>
        <sz val="5.5"/>
        <rFont val="Tahoma"/>
        <family val="2"/>
      </rPr>
      <t>TAKU (L7) (W)</t>
    </r>
  </si>
  <si>
    <r>
      <rPr>
        <sz val="5.5"/>
        <color theme="1"/>
        <rFont val="Tahoma"/>
        <family val="2"/>
      </rPr>
      <t xml:space="preserve">PARK, HEECHUL
</t>
    </r>
    <r>
      <rPr>
        <b/>
        <sz val="5.5"/>
        <color theme="1"/>
        <rFont val="Tahoma"/>
        <family val="2"/>
      </rPr>
      <t>CHUCK (L3)</t>
    </r>
  </si>
  <si>
    <t>MICO</t>
  </si>
  <si>
    <t>M17</t>
  </si>
  <si>
    <t xml:space="preserve">JAMES </t>
  </si>
  <si>
    <r>
      <rPr>
        <sz val="5.5"/>
        <color theme="1"/>
        <rFont val="Tahoma"/>
        <family val="2"/>
      </rPr>
      <t xml:space="preserve">JUNHYUNG JIN
</t>
    </r>
    <r>
      <rPr>
        <b/>
        <sz val="5.5"/>
        <color theme="1"/>
        <rFont val="Tahoma"/>
        <family val="2"/>
      </rPr>
      <t>JERRY (L4) (S)</t>
    </r>
  </si>
  <si>
    <r>
      <rPr>
        <sz val="5.5"/>
        <color theme="1"/>
        <rFont val="Tahoma"/>
        <family val="2"/>
      </rPr>
      <t xml:space="preserve">CHENG YU HSUAN
</t>
    </r>
    <r>
      <rPr>
        <b/>
        <sz val="5.5"/>
        <color theme="1"/>
        <rFont val="Tahoma"/>
        <family val="2"/>
      </rPr>
      <t>CAROL (L3) (S)</t>
    </r>
  </si>
  <si>
    <t>JAMES</t>
  </si>
  <si>
    <t>JOSIE</t>
  </si>
  <si>
    <r>
      <rPr>
        <sz val="5.5"/>
        <color theme="1"/>
        <rFont val="Tahoma"/>
        <family val="2"/>
      </rPr>
      <t xml:space="preserve">BAEINHEE
</t>
    </r>
    <r>
      <rPr>
        <b/>
        <sz val="5.5"/>
        <color theme="1"/>
        <rFont val="Tahoma"/>
        <family val="2"/>
      </rPr>
      <t xml:space="preserve">HENRY (L5) (S) </t>
    </r>
  </si>
  <si>
    <t>M18</t>
  </si>
  <si>
    <t>ROSE</t>
  </si>
  <si>
    <r>
      <rPr>
        <sz val="5.5"/>
        <color theme="1"/>
        <rFont val="Tahoma"/>
        <family val="2"/>
      </rPr>
      <t xml:space="preserve">MIYAZATO YURINO
</t>
    </r>
    <r>
      <rPr>
        <b/>
        <sz val="5.5"/>
        <color theme="1"/>
        <rFont val="Tahoma"/>
        <family val="2"/>
      </rPr>
      <t>YUNO (L4)</t>
    </r>
  </si>
  <si>
    <r>
      <rPr>
        <sz val="5.5"/>
        <rFont val="Tahoma"/>
        <family val="2"/>
      </rPr>
      <t>ERIKA KAKUTA</t>
    </r>
    <r>
      <rPr>
        <b/>
        <sz val="5.5"/>
        <rFont val="Tahoma"/>
        <family val="2"/>
      </rPr>
      <t xml:space="preserve">
ERIKA (W)</t>
    </r>
  </si>
  <si>
    <r>
      <rPr>
        <sz val="5.5"/>
        <color theme="1"/>
        <rFont val="Tahoma"/>
        <family val="2"/>
      </rPr>
      <t xml:space="preserve">PARK SOYE
</t>
    </r>
    <r>
      <rPr>
        <b/>
        <sz val="5.5"/>
        <color theme="1"/>
        <rFont val="Tahoma"/>
        <family val="2"/>
      </rPr>
      <t>SOYE (L3) (L)</t>
    </r>
  </si>
  <si>
    <r>
      <rPr>
        <sz val="5.5"/>
        <color theme="1"/>
        <rFont val="Tahoma"/>
        <family val="2"/>
      </rPr>
      <t xml:space="preserve">LIN PIN SYUAN
</t>
    </r>
    <r>
      <rPr>
        <b/>
        <sz val="5.5"/>
        <color theme="1"/>
        <rFont val="Tahoma"/>
        <family val="2"/>
      </rPr>
      <t>ZITA LIN (L5) (R)</t>
    </r>
  </si>
  <si>
    <t>JIM</t>
  </si>
  <si>
    <t>M19</t>
  </si>
  <si>
    <t>JASON</t>
  </si>
  <si>
    <r>
      <rPr>
        <sz val="5.5"/>
        <color theme="1"/>
        <rFont val="Tahoma"/>
        <family val="2"/>
      </rPr>
      <t xml:space="preserve">TAMURA MAMIKO
</t>
    </r>
    <r>
      <rPr>
        <b/>
        <sz val="5.5"/>
        <color theme="1"/>
        <rFont val="Tahoma"/>
        <family val="2"/>
      </rPr>
      <t>MAMIKO (L6) (S)</t>
    </r>
  </si>
  <si>
    <r>
      <rPr>
        <sz val="5.5"/>
        <color theme="1"/>
        <rFont val="Tahoma"/>
        <family val="2"/>
      </rPr>
      <t xml:space="preserve">ISOZAKI YUKA
</t>
    </r>
    <r>
      <rPr>
        <b/>
        <sz val="5.5"/>
        <color theme="1"/>
        <rFont val="Tahoma"/>
        <family val="2"/>
      </rPr>
      <t>ICE (L3) (S)</t>
    </r>
  </si>
  <si>
    <r>
      <rPr>
        <sz val="5.5"/>
        <color theme="1"/>
        <rFont val="Tahoma"/>
        <family val="2"/>
      </rPr>
      <t xml:space="preserve">HAN MINJI
</t>
    </r>
    <r>
      <rPr>
        <b/>
        <sz val="5.5"/>
        <color theme="1"/>
        <rFont val="Tahoma"/>
        <family val="2"/>
      </rPr>
      <t>BONNIE (L6) (S)</t>
    </r>
  </si>
  <si>
    <r>
      <rPr>
        <sz val="5.5"/>
        <color theme="1"/>
        <rFont val="Tahoma"/>
        <family val="2"/>
      </rPr>
      <t xml:space="preserve">YURI CHOI
</t>
    </r>
    <r>
      <rPr>
        <b/>
        <sz val="5.5"/>
        <color theme="1"/>
        <rFont val="Tahoma"/>
        <family val="2"/>
      </rPr>
      <t>DOROTHY (L4) (R)</t>
    </r>
  </si>
  <si>
    <t>LUZ</t>
  </si>
  <si>
    <t>M20</t>
  </si>
  <si>
    <t>MONS</t>
  </si>
  <si>
    <r>
      <rPr>
        <sz val="5.5"/>
        <color theme="1"/>
        <rFont val="Tahoma"/>
        <family val="2"/>
      </rPr>
      <t xml:space="preserve">RIKU SAKAMOTO
</t>
    </r>
    <r>
      <rPr>
        <b/>
        <sz val="5.5"/>
        <color theme="1"/>
        <rFont val="Tahoma"/>
        <family val="2"/>
      </rPr>
      <t>RIKU (L6)</t>
    </r>
  </si>
  <si>
    <t>TOEIC DAILY TEST DUTY</t>
  </si>
  <si>
    <r>
      <rPr>
        <sz val="5.5"/>
        <color theme="1"/>
        <rFont val="Tahoma"/>
        <family val="2"/>
      </rPr>
      <t xml:space="preserve">MANAKO KAE
</t>
    </r>
    <r>
      <rPr>
        <b/>
        <sz val="5.5"/>
        <color theme="1"/>
        <rFont val="Tahoma"/>
        <family val="2"/>
      </rPr>
      <t xml:space="preserve">KAE (L5) </t>
    </r>
  </si>
  <si>
    <t>CHINEE</t>
  </si>
  <si>
    <t>M21</t>
  </si>
  <si>
    <t>MARIANE</t>
  </si>
  <si>
    <r>
      <rPr>
        <sz val="5.5"/>
        <color theme="1"/>
        <rFont val="Tahoma"/>
        <family val="2"/>
      </rPr>
      <t xml:space="preserve">LYDARYE
</t>
    </r>
    <r>
      <rPr>
        <b/>
        <sz val="5.5"/>
        <color theme="1"/>
        <rFont val="Tahoma"/>
        <family val="2"/>
      </rPr>
      <t>SELINA (L2) (W)</t>
    </r>
  </si>
  <si>
    <r>
      <rPr>
        <sz val="5.5"/>
        <color theme="1"/>
        <rFont val="Tahoma"/>
        <family val="2"/>
      </rPr>
      <t xml:space="preserve">KAO KAI TING
</t>
    </r>
    <r>
      <rPr>
        <b/>
        <sz val="5.5"/>
        <color theme="1"/>
        <rFont val="Tahoma"/>
        <family val="2"/>
      </rPr>
      <t>JOSH (L2) (R)</t>
    </r>
  </si>
  <si>
    <r>
      <rPr>
        <sz val="5.5"/>
        <color theme="1"/>
        <rFont val="Tahoma"/>
        <family val="2"/>
      </rPr>
      <t xml:space="preserve">KIMTAEYEONG
</t>
    </r>
    <r>
      <rPr>
        <b/>
        <sz val="5.5"/>
        <color theme="1"/>
        <rFont val="Tahoma"/>
        <family val="2"/>
      </rPr>
      <t>WALDORF (L2) (R)</t>
    </r>
  </si>
  <si>
    <r>
      <rPr>
        <sz val="5.5"/>
        <color theme="1"/>
        <rFont val="Tahoma"/>
        <family val="2"/>
      </rPr>
      <t xml:space="preserve">HSU CHAO CHIA
</t>
    </r>
    <r>
      <rPr>
        <b/>
        <sz val="5.5"/>
        <color theme="1"/>
        <rFont val="Tahoma"/>
        <family val="2"/>
      </rPr>
      <t>JACK (L4) (W)</t>
    </r>
  </si>
  <si>
    <t>M22</t>
  </si>
  <si>
    <t>GERA</t>
  </si>
  <si>
    <r>
      <rPr>
        <sz val="5.5"/>
        <color theme="1"/>
        <rFont val="Tahoma"/>
        <family val="2"/>
      </rPr>
      <t xml:space="preserve">KITA AKANE
</t>
    </r>
    <r>
      <rPr>
        <b/>
        <sz val="5.5"/>
        <color theme="1"/>
        <rFont val="Tahoma"/>
        <family val="2"/>
      </rPr>
      <t>AKA (L4) (R)</t>
    </r>
  </si>
  <si>
    <r>
      <rPr>
        <sz val="5.5"/>
        <color theme="1"/>
        <rFont val="Tahoma"/>
        <family val="2"/>
      </rPr>
      <t xml:space="preserve">HUANG ZHI HAO
</t>
    </r>
    <r>
      <rPr>
        <b/>
        <sz val="5.5"/>
        <color theme="1"/>
        <rFont val="Tahoma"/>
        <family val="2"/>
      </rPr>
      <t>HOWARD (L1) (R)</t>
    </r>
  </si>
  <si>
    <r>
      <rPr>
        <sz val="5.5"/>
        <color theme="1"/>
        <rFont val="Tahoma"/>
        <family val="2"/>
      </rPr>
      <t xml:space="preserve">KIM MINJUN
</t>
    </r>
    <r>
      <rPr>
        <b/>
        <sz val="5.5"/>
        <color theme="1"/>
        <rFont val="Tahoma"/>
        <family val="2"/>
      </rPr>
      <t>TONY (L5) (R)</t>
    </r>
  </si>
  <si>
    <t>MIMI</t>
  </si>
  <si>
    <t>MAX</t>
  </si>
  <si>
    <r>
      <rPr>
        <sz val="5.5"/>
        <rFont val="Tahoma"/>
        <family val="2"/>
      </rPr>
      <t xml:space="preserve">FUJITA MIHARU
</t>
    </r>
    <r>
      <rPr>
        <b/>
        <sz val="5.5"/>
        <rFont val="Tahoma"/>
        <family val="2"/>
      </rPr>
      <t>FUJI (L4) (R)</t>
    </r>
  </si>
  <si>
    <t>M23</t>
  </si>
  <si>
    <t>NADINE</t>
  </si>
  <si>
    <r>
      <rPr>
        <sz val="5.5"/>
        <color theme="1"/>
        <rFont val="Tahoma"/>
        <family val="2"/>
      </rPr>
      <t xml:space="preserve">PARK, HEECHUL
</t>
    </r>
    <r>
      <rPr>
        <b/>
        <sz val="5.5"/>
        <color theme="1"/>
        <rFont val="Tahoma"/>
        <family val="2"/>
      </rPr>
      <t>CHUCK (L3) (S)</t>
    </r>
  </si>
  <si>
    <r>
      <rPr>
        <sz val="5.5"/>
        <color theme="1"/>
        <rFont val="Tahoma"/>
        <family val="2"/>
      </rPr>
      <t xml:space="preserve">TATSUMI CHISATO
</t>
    </r>
    <r>
      <rPr>
        <b/>
        <sz val="5.5"/>
        <color theme="1"/>
        <rFont val="Tahoma"/>
        <family val="2"/>
      </rPr>
      <t>CHII (L4) (R)</t>
    </r>
  </si>
  <si>
    <r>
      <rPr>
        <sz val="5.5"/>
        <color theme="1"/>
        <rFont val="Tahoma"/>
        <family val="2"/>
      </rPr>
      <t xml:space="preserve">YUN HYEONWOONG
</t>
    </r>
    <r>
      <rPr>
        <b/>
        <sz val="5.5"/>
        <color theme="1"/>
        <rFont val="Tahoma"/>
        <family val="2"/>
      </rPr>
      <t>HESSER (L3) (L)</t>
    </r>
  </si>
  <si>
    <r>
      <rPr>
        <sz val="5.5"/>
        <color theme="1"/>
        <rFont val="Tahoma"/>
        <family val="2"/>
      </rPr>
      <t xml:space="preserve">WANG WAN TING
</t>
    </r>
    <r>
      <rPr>
        <b/>
        <sz val="5.5"/>
        <color theme="1"/>
        <rFont val="Tahoma"/>
        <family val="2"/>
      </rPr>
      <t>IVY (L4) (R)</t>
    </r>
  </si>
  <si>
    <t>M31</t>
  </si>
  <si>
    <t>SYL</t>
  </si>
  <si>
    <t>STAFF  DAWN</t>
  </si>
  <si>
    <r>
      <rPr>
        <sz val="5.5"/>
        <color theme="1"/>
        <rFont val="Tahoma"/>
        <family val="2"/>
      </rPr>
      <t xml:space="preserve">YAMASHITA ERIKA
</t>
    </r>
    <r>
      <rPr>
        <b/>
        <sz val="5.5"/>
        <color theme="1"/>
        <rFont val="Tahoma"/>
        <family val="2"/>
      </rPr>
      <t>ELLY (L5) (R)</t>
    </r>
  </si>
  <si>
    <r>
      <rPr>
        <sz val="5.5"/>
        <color theme="1"/>
        <rFont val="Tahoma"/>
        <family val="2"/>
      </rPr>
      <t xml:space="preserve">ALZAHRANI, ABDULRAHMAN 
</t>
    </r>
    <r>
      <rPr>
        <b/>
        <sz val="5.5"/>
        <color theme="1"/>
        <rFont val="Tahoma"/>
        <family val="2"/>
      </rPr>
      <t>ALBERT (L3) (W)</t>
    </r>
  </si>
  <si>
    <r>
      <rPr>
        <sz val="5.5"/>
        <color theme="1"/>
        <rFont val="Tahoma"/>
        <family val="2"/>
      </rPr>
      <t xml:space="preserve">ABDULMALEK OMAR
</t>
    </r>
    <r>
      <rPr>
        <b/>
        <sz val="5.5"/>
        <color theme="1"/>
        <rFont val="Tahoma"/>
        <family val="2"/>
      </rPr>
      <t>MALEK (L3) (S)</t>
    </r>
  </si>
  <si>
    <r>
      <rPr>
        <sz val="5.5"/>
        <color theme="1"/>
        <rFont val="Tahoma"/>
        <family val="2"/>
      </rPr>
      <t xml:space="preserve">CHEN CHING TING
</t>
    </r>
    <r>
      <rPr>
        <b/>
        <sz val="5.5"/>
        <color theme="1"/>
        <rFont val="Tahoma"/>
        <family val="2"/>
      </rPr>
      <t>FION CHEN (L3) (L)</t>
    </r>
  </si>
  <si>
    <r>
      <rPr>
        <sz val="5.5"/>
        <rFont val="Tahoma"/>
        <family val="2"/>
      </rPr>
      <t xml:space="preserve">SAKURAI AYANO
</t>
    </r>
    <r>
      <rPr>
        <b/>
        <sz val="5.5"/>
        <rFont val="Tahoma"/>
        <family val="2"/>
      </rPr>
      <t>AMY (L5)</t>
    </r>
  </si>
  <si>
    <t>SELF-STUDY ROOM INCHARGE</t>
  </si>
  <si>
    <t>M32</t>
  </si>
  <si>
    <t>MAJE</t>
  </si>
  <si>
    <r>
      <rPr>
        <sz val="5.5"/>
        <color theme="1"/>
        <rFont val="Tahoma"/>
        <family val="2"/>
      </rPr>
      <t xml:space="preserve">WANG WAN TING
</t>
    </r>
    <r>
      <rPr>
        <b/>
        <sz val="5.5"/>
        <color theme="1"/>
        <rFont val="Tahoma"/>
        <family val="2"/>
      </rPr>
      <t>IVY (L4) (L)</t>
    </r>
  </si>
  <si>
    <r>
      <rPr>
        <sz val="5.5"/>
        <color theme="1"/>
        <rFont val="Tahoma"/>
        <family val="2"/>
      </rPr>
      <t xml:space="preserve">HSU CHAO CHIA
</t>
    </r>
    <r>
      <rPr>
        <b/>
        <sz val="5.5"/>
        <color theme="1"/>
        <rFont val="Tahoma"/>
        <family val="2"/>
      </rPr>
      <t>JACK (L4) (S)</t>
    </r>
  </si>
  <si>
    <r>
      <rPr>
        <sz val="5.5"/>
        <rFont val="Tahoma"/>
        <family val="2"/>
      </rPr>
      <t xml:space="preserve">UCHIDA ARIMI
</t>
    </r>
    <r>
      <rPr>
        <b/>
        <sz val="5.5"/>
        <color theme="1"/>
        <rFont val="Tahoma"/>
        <family val="2"/>
      </rPr>
      <t xml:space="preserve">ARIMI (L3) </t>
    </r>
  </si>
  <si>
    <r>
      <rPr>
        <sz val="5.5"/>
        <color theme="1"/>
        <rFont val="Tahoma"/>
        <family val="2"/>
      </rPr>
      <t xml:space="preserve">CHEN CHING TING
</t>
    </r>
    <r>
      <rPr>
        <b/>
        <sz val="5.5"/>
        <color theme="1"/>
        <rFont val="Tahoma"/>
        <family val="2"/>
      </rPr>
      <t>FION CHEN (L3) (R)</t>
    </r>
  </si>
  <si>
    <r>
      <rPr>
        <sz val="5.5"/>
        <rFont val="Tahoma"/>
        <family val="2"/>
      </rPr>
      <t xml:space="preserve">WATANABE CHIE
</t>
    </r>
    <r>
      <rPr>
        <b/>
        <sz val="5.5"/>
        <rFont val="Tahoma"/>
        <family val="2"/>
      </rPr>
      <t>CHI (L2) (R)</t>
    </r>
  </si>
  <si>
    <r>
      <rPr>
        <sz val="5.5"/>
        <color theme="1"/>
        <rFont val="Tahoma"/>
        <family val="2"/>
      </rPr>
      <t xml:space="preserve">KANG BYUNGHOON
</t>
    </r>
    <r>
      <rPr>
        <b/>
        <sz val="5.5"/>
        <color theme="1"/>
        <rFont val="Tahoma"/>
        <family val="2"/>
      </rPr>
      <t>OSCAR (4) (L)</t>
    </r>
  </si>
  <si>
    <t>M33</t>
  </si>
  <si>
    <t>SHIENA</t>
  </si>
  <si>
    <r>
      <rPr>
        <sz val="5.5"/>
        <rFont val="Tahoma"/>
        <family val="2"/>
      </rPr>
      <t xml:space="preserve">MISUMI AKI
</t>
    </r>
    <r>
      <rPr>
        <b/>
        <sz val="5.5"/>
        <rFont val="Tahoma"/>
        <family val="2"/>
      </rPr>
      <t>AKI (L4) (R)</t>
    </r>
  </si>
  <si>
    <r>
      <rPr>
        <sz val="5.5"/>
        <color theme="1"/>
        <rFont val="Tahoma"/>
        <family val="2"/>
      </rPr>
      <t xml:space="preserve">MINJI KANG
</t>
    </r>
    <r>
      <rPr>
        <b/>
        <sz val="5.5"/>
        <color theme="1"/>
        <rFont val="Tahoma"/>
        <family val="2"/>
      </rPr>
      <t>JENNA (L6) (L)</t>
    </r>
  </si>
  <si>
    <t xml:space="preserve">CNN CLASS </t>
  </si>
  <si>
    <r>
      <rPr>
        <sz val="5.5"/>
        <color theme="1"/>
        <rFont val="Tahoma"/>
        <family val="2"/>
      </rPr>
      <t xml:space="preserve">SOHN SUMIN
</t>
    </r>
    <r>
      <rPr>
        <b/>
        <sz val="5.5"/>
        <color theme="1"/>
        <rFont val="Tahoma"/>
        <family val="2"/>
      </rPr>
      <t>SUMIN (L5) (S)</t>
    </r>
  </si>
  <si>
    <t>LES</t>
  </si>
  <si>
    <t>M34</t>
  </si>
  <si>
    <t>HELEN</t>
  </si>
  <si>
    <r>
      <rPr>
        <sz val="5.5"/>
        <rFont val="Tahoma"/>
        <family val="2"/>
      </rPr>
      <t xml:space="preserve">LIU HUNG CHIEH
</t>
    </r>
    <r>
      <rPr>
        <b/>
        <sz val="5.5"/>
        <rFont val="Tahoma"/>
        <family val="2"/>
      </rPr>
      <t>JACKY(L5) (S)</t>
    </r>
  </si>
  <si>
    <r>
      <rPr>
        <sz val="5.5"/>
        <rFont val="Tahoma"/>
        <family val="2"/>
      </rPr>
      <t xml:space="preserve">IIDA SAYAKA
</t>
    </r>
    <r>
      <rPr>
        <b/>
        <sz val="5.5"/>
        <rFont val="Tahoma"/>
        <family val="2"/>
      </rPr>
      <t>SAYAKA (L5) (S)</t>
    </r>
  </si>
  <si>
    <r>
      <rPr>
        <sz val="5.5"/>
        <color theme="1"/>
        <rFont val="Tahoma"/>
        <family val="2"/>
      </rPr>
      <t xml:space="preserve">UEGAKI EIKAKU
</t>
    </r>
    <r>
      <rPr>
        <b/>
        <sz val="5.5"/>
        <color theme="1"/>
        <rFont val="Tahoma"/>
        <family val="2"/>
      </rPr>
      <t>KAKU (L4) (L)</t>
    </r>
  </si>
  <si>
    <r>
      <rPr>
        <sz val="5.5"/>
        <rFont val="Tahoma"/>
        <family val="2"/>
      </rPr>
      <t xml:space="preserve">TAKUHIRO ISHIHARA
</t>
    </r>
    <r>
      <rPr>
        <b/>
        <sz val="5.5"/>
        <rFont val="Tahoma"/>
        <family val="2"/>
      </rPr>
      <t>TAKU (L7) (L)</t>
    </r>
  </si>
  <si>
    <r>
      <rPr>
        <sz val="5.5"/>
        <color theme="1"/>
        <rFont val="Tahoma"/>
        <family val="2"/>
      </rPr>
      <t xml:space="preserve">JUNHYUNG JIN
</t>
    </r>
    <r>
      <rPr>
        <b/>
        <sz val="5.5"/>
        <color theme="1"/>
        <rFont val="Tahoma"/>
        <family val="2"/>
      </rPr>
      <t>JERRY (L4) (L)</t>
    </r>
  </si>
  <si>
    <r>
      <rPr>
        <sz val="5.5"/>
        <rFont val="Tahoma"/>
        <family val="2"/>
      </rPr>
      <t xml:space="preserve">HOU YI RU
</t>
    </r>
    <r>
      <rPr>
        <b/>
        <sz val="5.5"/>
        <rFont val="Tahoma"/>
        <family val="2"/>
      </rPr>
      <t>JOANNE(L5) (L)</t>
    </r>
  </si>
  <si>
    <t>M35</t>
  </si>
  <si>
    <t>BLAZE</t>
  </si>
  <si>
    <r>
      <rPr>
        <sz val="5.5"/>
        <color theme="1"/>
        <rFont val="Tahoma"/>
        <family val="2"/>
      </rPr>
      <t xml:space="preserve">SEONG BAI LEE
</t>
    </r>
    <r>
      <rPr>
        <b/>
        <sz val="5.5"/>
        <color theme="1"/>
        <rFont val="Tahoma"/>
        <family val="2"/>
      </rPr>
      <t>LION (L1) (S)</t>
    </r>
  </si>
  <si>
    <t>CNN CLASS</t>
  </si>
  <si>
    <r>
      <rPr>
        <sz val="5.5"/>
        <color theme="1"/>
        <rFont val="Tahoma"/>
        <family val="2"/>
      </rPr>
      <t xml:space="preserve">HUANG ZHI HAO
</t>
    </r>
    <r>
      <rPr>
        <b/>
        <sz val="5.5"/>
        <color theme="1"/>
        <rFont val="Tahoma"/>
        <family val="2"/>
      </rPr>
      <t>HOWARD (L1) (L)</t>
    </r>
  </si>
  <si>
    <r>
      <rPr>
        <sz val="5.5"/>
        <color theme="1"/>
        <rFont val="Tahoma"/>
        <family val="2"/>
      </rPr>
      <t xml:space="preserve">PARK, HEECHUL
</t>
    </r>
    <r>
      <rPr>
        <b/>
        <sz val="5.5"/>
        <color theme="1"/>
        <rFont val="Tahoma"/>
        <family val="2"/>
      </rPr>
      <t>CHUCK (L3) (L)</t>
    </r>
  </si>
  <si>
    <r>
      <rPr>
        <sz val="5.5"/>
        <rFont val="Tahoma"/>
        <family val="2"/>
      </rPr>
      <t xml:space="preserve">MISUMI AKI
</t>
    </r>
    <r>
      <rPr>
        <b/>
        <sz val="5.5"/>
        <rFont val="Tahoma"/>
        <family val="2"/>
      </rPr>
      <t xml:space="preserve">AKI (L4) (R) </t>
    </r>
  </si>
  <si>
    <r>
      <rPr>
        <sz val="5.5"/>
        <color theme="1"/>
        <rFont val="Tahoma"/>
        <family val="2"/>
      </rPr>
      <t xml:space="preserve">LU SHIH MING
</t>
    </r>
    <r>
      <rPr>
        <b/>
        <sz val="5.5"/>
        <color theme="1"/>
        <rFont val="Tahoma"/>
        <family val="2"/>
      </rPr>
      <t>ELSON (L4) (L)</t>
    </r>
  </si>
  <si>
    <r>
      <rPr>
        <sz val="5.5"/>
        <color theme="1"/>
        <rFont val="Tahoma"/>
        <family val="2"/>
      </rPr>
      <t xml:space="preserve">KANG BYUNGHOON
</t>
    </r>
    <r>
      <rPr>
        <b/>
        <sz val="5.5"/>
        <color theme="1"/>
        <rFont val="Tahoma"/>
        <family val="2"/>
      </rPr>
      <t>OSCAR (4) (S)</t>
    </r>
  </si>
  <si>
    <t>M36</t>
  </si>
  <si>
    <t>LEA</t>
  </si>
  <si>
    <r>
      <rPr>
        <sz val="5.5"/>
        <color theme="1"/>
        <rFont val="Tahoma"/>
        <family val="2"/>
      </rPr>
      <t xml:space="preserve">OH SOOEUN
</t>
    </r>
    <r>
      <rPr>
        <b/>
        <sz val="5.5"/>
        <color theme="1"/>
        <rFont val="Tahoma"/>
        <family val="2"/>
      </rPr>
      <t>SYUNI (L4) (L)</t>
    </r>
  </si>
  <si>
    <r>
      <rPr>
        <sz val="5.5"/>
        <rFont val="Tahoma"/>
        <family val="2"/>
      </rPr>
      <t xml:space="preserve">TAKUHIRO ISHIHARA
</t>
    </r>
    <r>
      <rPr>
        <b/>
        <sz val="5.5"/>
        <rFont val="Tahoma"/>
        <family val="2"/>
      </rPr>
      <t>TAKU (L7) (S)</t>
    </r>
  </si>
  <si>
    <r>
      <rPr>
        <sz val="5.5"/>
        <color theme="1"/>
        <rFont val="Tahoma"/>
        <family val="2"/>
      </rPr>
      <t xml:space="preserve">NISHIO KANAMI
</t>
    </r>
    <r>
      <rPr>
        <b/>
        <sz val="5.5"/>
        <color theme="1"/>
        <rFont val="Tahoma"/>
        <family val="2"/>
      </rPr>
      <t>KANA (L5) (S)</t>
    </r>
  </si>
  <si>
    <r>
      <rPr>
        <sz val="5.5"/>
        <color theme="1"/>
        <rFont val="Tahoma"/>
        <family val="2"/>
      </rPr>
      <t xml:space="preserve">MIIKE YUTA
</t>
    </r>
    <r>
      <rPr>
        <b/>
        <sz val="5.5"/>
        <color theme="1"/>
        <rFont val="Tahoma"/>
        <family val="2"/>
      </rPr>
      <t>MIKE (L5)(L)</t>
    </r>
  </si>
  <si>
    <r>
      <rPr>
        <sz val="5.5"/>
        <color theme="1"/>
        <rFont val="Tahoma"/>
        <family val="2"/>
      </rPr>
      <t xml:space="preserve">MARUOKA JUNKO
</t>
    </r>
    <r>
      <rPr>
        <b/>
        <sz val="5.5"/>
        <color theme="1"/>
        <rFont val="Tahoma"/>
        <family val="2"/>
      </rPr>
      <t>JUNKO (L3) (L)</t>
    </r>
  </si>
  <si>
    <r>
      <rPr>
        <sz val="5.5"/>
        <color theme="1"/>
        <rFont val="Tahoma"/>
        <family val="2"/>
      </rPr>
      <t xml:space="preserve">RINA ANDO
</t>
    </r>
    <r>
      <rPr>
        <b/>
        <sz val="5.5"/>
        <color theme="1"/>
        <rFont val="Tahoma"/>
        <family val="2"/>
      </rPr>
      <t>SORA (L5) (L)</t>
    </r>
  </si>
  <si>
    <r>
      <rPr>
        <sz val="5.5"/>
        <color theme="1"/>
        <rFont val="Tahoma"/>
        <family val="2"/>
      </rPr>
      <t xml:space="preserve">JOO SANGHYUN
</t>
    </r>
    <r>
      <rPr>
        <b/>
        <sz val="5.5"/>
        <color theme="1"/>
        <rFont val="Tahoma"/>
        <family val="2"/>
      </rPr>
      <t xml:space="preserve">JOO (L2) </t>
    </r>
  </si>
  <si>
    <t>M37</t>
  </si>
  <si>
    <t>JAY</t>
  </si>
  <si>
    <t xml:space="preserve"> </t>
  </si>
  <si>
    <r>
      <rPr>
        <sz val="5.5"/>
        <color theme="1"/>
        <rFont val="Tahoma"/>
        <family val="2"/>
      </rPr>
      <t>IM KIYEONG</t>
    </r>
    <r>
      <rPr>
        <b/>
        <sz val="5.5"/>
        <color theme="1"/>
        <rFont val="Tahoma"/>
        <family val="2"/>
      </rPr>
      <t xml:space="preserve">
JOHN MICHAEL (L5) (L)</t>
    </r>
  </si>
  <si>
    <r>
      <rPr>
        <sz val="5.5"/>
        <color theme="1"/>
        <rFont val="Tahoma"/>
        <family val="2"/>
      </rPr>
      <t xml:space="preserve">NAKAMORI HOMARE
</t>
    </r>
    <r>
      <rPr>
        <b/>
        <sz val="5.5"/>
        <color theme="1"/>
        <rFont val="Tahoma"/>
        <family val="2"/>
      </rPr>
      <t>HOMA (L5)  (L)</t>
    </r>
  </si>
  <si>
    <r>
      <rPr>
        <sz val="5.5"/>
        <rFont val="Tahoma"/>
        <family val="2"/>
      </rPr>
      <t xml:space="preserve">KAWANAKA MOMO
</t>
    </r>
    <r>
      <rPr>
        <b/>
        <sz val="5.5"/>
        <rFont val="Tahoma"/>
        <family val="2"/>
      </rPr>
      <t>MOMO (L4) (S)</t>
    </r>
  </si>
  <si>
    <r>
      <rPr>
        <sz val="5.5"/>
        <rFont val="Tahoma"/>
        <family val="2"/>
      </rPr>
      <t xml:space="preserve">LEE YOUNGSOO
</t>
    </r>
    <r>
      <rPr>
        <b/>
        <sz val="5.5"/>
        <rFont val="Tahoma"/>
        <family val="2"/>
      </rPr>
      <t>MARTIN (L6) (S)</t>
    </r>
  </si>
  <si>
    <r>
      <rPr>
        <sz val="5.5"/>
        <color theme="1"/>
        <rFont val="Tahoma"/>
        <family val="2"/>
      </rPr>
      <t xml:space="preserve">JANG SUNG WON
</t>
    </r>
    <r>
      <rPr>
        <b/>
        <sz val="5.5"/>
        <color theme="1"/>
        <rFont val="Tahoma"/>
        <family val="2"/>
      </rPr>
      <t>ANDREAS (L5) (S)</t>
    </r>
  </si>
  <si>
    <r>
      <rPr>
        <sz val="5.5"/>
        <rFont val="Tahoma"/>
        <family val="2"/>
      </rPr>
      <t xml:space="preserve">CHIHO KASAISHI
</t>
    </r>
    <r>
      <rPr>
        <b/>
        <sz val="5.5"/>
        <rFont val="Tahoma"/>
        <family val="2"/>
      </rPr>
      <t>CHIHO (L4) (S)</t>
    </r>
  </si>
  <si>
    <r>
      <rPr>
        <sz val="5.5"/>
        <color theme="1"/>
        <rFont val="Tahoma"/>
        <family val="2"/>
      </rPr>
      <t xml:space="preserve">KIM JISU
</t>
    </r>
    <r>
      <rPr>
        <b/>
        <sz val="5.5"/>
        <color theme="1"/>
        <rFont val="Tahoma"/>
        <family val="2"/>
      </rPr>
      <t>JISU (L3) (S)</t>
    </r>
  </si>
  <si>
    <r>
      <rPr>
        <sz val="5.5"/>
        <color theme="1"/>
        <rFont val="Tahoma"/>
        <family val="2"/>
      </rPr>
      <t>PARK CHAEEUN</t>
    </r>
    <r>
      <rPr>
        <b/>
        <sz val="5.5"/>
        <color theme="1"/>
        <rFont val="Tahoma"/>
        <family val="2"/>
      </rPr>
      <t xml:space="preserve">
VELY (L3) (L)</t>
    </r>
  </si>
  <si>
    <t>M38</t>
  </si>
  <si>
    <t>LUCILLE</t>
  </si>
  <si>
    <r>
      <rPr>
        <sz val="5.5"/>
        <color theme="1"/>
        <rFont val="Tahoma"/>
        <family val="2"/>
      </rPr>
      <t xml:space="preserve">MARUOKA JUNKO
</t>
    </r>
    <r>
      <rPr>
        <b/>
        <sz val="5.5"/>
        <color theme="1"/>
        <rFont val="Tahoma"/>
        <family val="2"/>
      </rPr>
      <t>JUNKO (L3) (S)</t>
    </r>
  </si>
  <si>
    <r>
      <rPr>
        <sz val="5.5"/>
        <rFont val="Tahoma"/>
        <family val="2"/>
      </rPr>
      <t xml:space="preserve">LEE NAKYEONG
</t>
    </r>
    <r>
      <rPr>
        <b/>
        <sz val="5.5"/>
        <rFont val="Tahoma"/>
        <family val="2"/>
      </rPr>
      <t>RAINA (L2) (L)</t>
    </r>
  </si>
  <si>
    <r>
      <rPr>
        <sz val="5.5"/>
        <rFont val="Tahoma"/>
        <family val="2"/>
      </rPr>
      <t xml:space="preserve">JIAN AN JIA
</t>
    </r>
    <r>
      <rPr>
        <b/>
        <sz val="5.5"/>
        <rFont val="Tahoma"/>
        <family val="2"/>
      </rPr>
      <t>ANGIE (L3) (L)</t>
    </r>
  </si>
  <si>
    <r>
      <rPr>
        <sz val="5.5"/>
        <color theme="1"/>
        <rFont val="Tahoma"/>
        <family val="2"/>
      </rPr>
      <t xml:space="preserve">KITAMURA TAKUMI
</t>
    </r>
    <r>
      <rPr>
        <b/>
        <sz val="5.5"/>
        <color theme="1"/>
        <rFont val="Tahoma"/>
        <family val="2"/>
      </rPr>
      <t>TAKUMI (L5) (S)</t>
    </r>
  </si>
  <si>
    <r>
      <rPr>
        <sz val="5.5"/>
        <color theme="1"/>
        <rFont val="Tahoma"/>
        <family val="2"/>
      </rPr>
      <t xml:space="preserve">JEE JAE UK
</t>
    </r>
    <r>
      <rPr>
        <b/>
        <sz val="5.5"/>
        <color theme="1"/>
        <rFont val="Tahoma"/>
        <family val="2"/>
      </rPr>
      <t>EVAN (L5) (S)</t>
    </r>
  </si>
  <si>
    <r>
      <rPr>
        <sz val="5.5"/>
        <color theme="1"/>
        <rFont val="Tahoma"/>
        <family val="2"/>
      </rPr>
      <t xml:space="preserve">SHIN KYUNG MI
</t>
    </r>
    <r>
      <rPr>
        <b/>
        <sz val="5.5"/>
        <color theme="1"/>
        <rFont val="Tahoma"/>
        <family val="2"/>
      </rPr>
      <t>LINA (L3) (S)</t>
    </r>
  </si>
  <si>
    <r>
      <rPr>
        <sz val="5.5"/>
        <color theme="1"/>
        <rFont val="Tahoma"/>
        <family val="2"/>
      </rPr>
      <t xml:space="preserve">NISHIO KANAMI
</t>
    </r>
    <r>
      <rPr>
        <b/>
        <sz val="5.5"/>
        <color theme="1"/>
        <rFont val="Tahoma"/>
        <family val="2"/>
      </rPr>
      <t>KANA (L5) (L)</t>
    </r>
  </si>
  <si>
    <r>
      <rPr>
        <sz val="5.5"/>
        <color theme="1"/>
        <rFont val="Tahoma"/>
        <family val="2"/>
      </rPr>
      <t xml:space="preserve">YU TSUNG YEH
</t>
    </r>
    <r>
      <rPr>
        <b/>
        <sz val="5.5"/>
        <color theme="1"/>
        <rFont val="Tahoma"/>
        <family val="2"/>
      </rPr>
      <t>MARK (L6) (S)</t>
    </r>
  </si>
  <si>
    <t>M39</t>
  </si>
  <si>
    <t>LAWRANCE</t>
  </si>
  <si>
    <r>
      <rPr>
        <sz val="5.5"/>
        <rFont val="Tahoma"/>
        <family val="2"/>
      </rPr>
      <t xml:space="preserve">MINAGAWA HAYATO
</t>
    </r>
    <r>
      <rPr>
        <b/>
        <sz val="5.5"/>
        <rFont val="Tahoma"/>
        <family val="2"/>
      </rPr>
      <t>HAYA (L4) (L)</t>
    </r>
  </si>
  <si>
    <r>
      <rPr>
        <sz val="5.5"/>
        <color rgb="FF000000"/>
        <rFont val="Tahoma"/>
        <family val="2"/>
      </rPr>
      <t xml:space="preserve">SAKAGUCHI HITOSHI
</t>
    </r>
    <r>
      <rPr>
        <b/>
        <sz val="5.5"/>
        <color rgb="FF000000"/>
        <rFont val="Tahoma"/>
        <family val="2"/>
      </rPr>
      <t>TOSHI</t>
    </r>
  </si>
  <si>
    <r>
      <rPr>
        <sz val="5.5"/>
        <rFont val="Tahoma"/>
        <family val="2"/>
      </rPr>
      <t xml:space="preserve">LEE JOU HWAN
</t>
    </r>
    <r>
      <rPr>
        <b/>
        <sz val="5.5"/>
        <rFont val="Tahoma"/>
        <family val="2"/>
      </rPr>
      <t>JU (L5) (S)</t>
    </r>
  </si>
  <si>
    <r>
      <rPr>
        <sz val="5.5"/>
        <rFont val="Tahoma"/>
        <family val="2"/>
      </rPr>
      <t xml:space="preserve">VU THI HOANG DUOC
</t>
    </r>
    <r>
      <rPr>
        <b/>
        <sz val="5.5"/>
        <rFont val="Tahoma"/>
        <family val="2"/>
      </rPr>
      <t>DUOC (L5) (S)</t>
    </r>
  </si>
  <si>
    <r>
      <rPr>
        <sz val="5.5"/>
        <rFont val="Tahoma"/>
        <family val="2"/>
      </rPr>
      <t xml:space="preserve">YASUMATSU HANAKO
</t>
    </r>
    <r>
      <rPr>
        <b/>
        <sz val="5.5"/>
        <rFont val="Tahoma"/>
        <family val="2"/>
      </rPr>
      <t>HANAKO (L6) (S)</t>
    </r>
  </si>
  <si>
    <r>
      <rPr>
        <sz val="5.5"/>
        <rFont val="Tahoma"/>
        <family val="2"/>
      </rPr>
      <t xml:space="preserve">KITAURA AYAKA
</t>
    </r>
    <r>
      <rPr>
        <b/>
        <sz val="5.5"/>
        <rFont val="Tahoma"/>
        <family val="2"/>
      </rPr>
      <t>YAN (L4) (S)</t>
    </r>
  </si>
  <si>
    <r>
      <rPr>
        <sz val="5.5"/>
        <rFont val="Tahoma"/>
        <family val="2"/>
      </rPr>
      <t xml:space="preserve">LEE JUHUN
</t>
    </r>
    <r>
      <rPr>
        <b/>
        <sz val="5.5"/>
        <rFont val="Tahoma"/>
        <family val="2"/>
      </rPr>
      <t>ABRAHAM (L5)(S)</t>
    </r>
  </si>
  <si>
    <t>CYNDIE</t>
  </si>
  <si>
    <t>M40</t>
  </si>
  <si>
    <t xml:space="preserve">EJ </t>
  </si>
  <si>
    <r>
      <rPr>
        <sz val="5.5"/>
        <color theme="1"/>
        <rFont val="Tahoma"/>
        <family val="2"/>
      </rPr>
      <t xml:space="preserve">YAMASHITA ERIKA
</t>
    </r>
    <r>
      <rPr>
        <b/>
        <sz val="5.5"/>
        <color theme="1"/>
        <rFont val="Tahoma"/>
        <family val="2"/>
      </rPr>
      <t>ELLY (L5) (S)</t>
    </r>
  </si>
  <si>
    <r>
      <rPr>
        <sz val="5.5"/>
        <color theme="1"/>
        <rFont val="Tahoma"/>
        <family val="2"/>
      </rPr>
      <t xml:space="preserve">OH JOO HEE
</t>
    </r>
    <r>
      <rPr>
        <b/>
        <sz val="5.5"/>
        <color theme="1"/>
        <rFont val="Tahoma"/>
        <family val="2"/>
      </rPr>
      <t>LUCIA (L5) (S)</t>
    </r>
  </si>
  <si>
    <r>
      <rPr>
        <sz val="5.5"/>
        <color theme="1"/>
        <rFont val="Tahoma"/>
        <family val="2"/>
      </rPr>
      <t xml:space="preserve">MAYU FUJIWARA
</t>
    </r>
    <r>
      <rPr>
        <b/>
        <sz val="5.5"/>
        <color theme="1"/>
        <rFont val="Tahoma"/>
        <family val="2"/>
      </rPr>
      <t>MAYU (L4) (S)</t>
    </r>
  </si>
  <si>
    <r>
      <rPr>
        <sz val="5.5"/>
        <color theme="1"/>
        <rFont val="Tahoma"/>
        <family val="2"/>
      </rPr>
      <t xml:space="preserve">JEE JAE UK
</t>
    </r>
    <r>
      <rPr>
        <b/>
        <sz val="5.5"/>
        <color theme="1"/>
        <rFont val="Tahoma"/>
        <family val="2"/>
      </rPr>
      <t>EVAN (L5) (L)</t>
    </r>
  </si>
  <si>
    <r>
      <rPr>
        <sz val="5.5"/>
        <rFont val="Tahoma"/>
        <family val="2"/>
      </rPr>
      <t xml:space="preserve">CHEN JIAN HONG
</t>
    </r>
    <r>
      <rPr>
        <b/>
        <sz val="5.5"/>
        <rFont val="Tahoma"/>
        <family val="2"/>
      </rPr>
      <t>JIM(L3) (L)</t>
    </r>
  </si>
  <si>
    <r>
      <rPr>
        <sz val="5.5"/>
        <rFont val="Tahoma"/>
        <family val="2"/>
      </rPr>
      <t xml:space="preserve">JIAN AN JIA
</t>
    </r>
    <r>
      <rPr>
        <b/>
        <sz val="5.5"/>
        <rFont val="Tahoma"/>
        <family val="2"/>
      </rPr>
      <t>ANJIE (L3) (S)</t>
    </r>
  </si>
  <si>
    <r>
      <rPr>
        <sz val="5.5"/>
        <color theme="1"/>
        <rFont val="Tahoma"/>
        <family val="2"/>
      </rPr>
      <t xml:space="preserve">EUNKYUNG PARK
</t>
    </r>
    <r>
      <rPr>
        <b/>
        <sz val="5.5"/>
        <color theme="1"/>
        <rFont val="Tahoma"/>
        <family val="2"/>
      </rPr>
      <t>LISA (L3) (S)</t>
    </r>
  </si>
  <si>
    <r>
      <rPr>
        <sz val="5.5"/>
        <color theme="1"/>
        <rFont val="Tahoma"/>
        <family val="2"/>
      </rPr>
      <t xml:space="preserve">TRAN THI THUY HONG
</t>
    </r>
    <r>
      <rPr>
        <b/>
        <sz val="5.5"/>
        <color theme="1"/>
        <rFont val="Tahoma"/>
        <family val="2"/>
      </rPr>
      <t>TRAN (L2) (L)</t>
    </r>
  </si>
  <si>
    <r>
      <rPr>
        <sz val="5.5"/>
        <color theme="1"/>
        <rFont val="Tahoma"/>
        <family val="2"/>
      </rPr>
      <t xml:space="preserve">JUNG DA YOUNG
</t>
    </r>
    <r>
      <rPr>
        <b/>
        <sz val="5.5"/>
        <color theme="1"/>
        <rFont val="Tahoma"/>
        <family val="2"/>
      </rPr>
      <t>MELISSA (L3) (R)</t>
    </r>
  </si>
  <si>
    <t>EJ</t>
  </si>
  <si>
    <t>M41</t>
  </si>
  <si>
    <t>ROSETTE</t>
  </si>
  <si>
    <r>
      <rPr>
        <sz val="5.5"/>
        <rFont val="Tahoma"/>
        <family val="2"/>
      </rPr>
      <t>ERIKA KAKUTA</t>
    </r>
    <r>
      <rPr>
        <b/>
        <sz val="5.5"/>
        <rFont val="Tahoma"/>
        <family val="2"/>
      </rPr>
      <t xml:space="preserve">
ERIKA (S)</t>
    </r>
  </si>
  <si>
    <r>
      <rPr>
        <sz val="5.5"/>
        <color theme="1"/>
        <rFont val="Tahoma"/>
        <family val="2"/>
      </rPr>
      <t xml:space="preserve">UEZU RYO
</t>
    </r>
    <r>
      <rPr>
        <b/>
        <sz val="5.5"/>
        <color theme="1"/>
        <rFont val="Tahoma"/>
        <family val="2"/>
      </rPr>
      <t>LIO (L4) (S)</t>
    </r>
  </si>
  <si>
    <r>
      <rPr>
        <sz val="5.5"/>
        <color theme="1"/>
        <rFont val="Tahoma"/>
        <family val="2"/>
      </rPr>
      <t xml:space="preserve">KITA AKANE
</t>
    </r>
    <r>
      <rPr>
        <b/>
        <sz val="5.5"/>
        <color theme="1"/>
        <rFont val="Tahoma"/>
        <family val="2"/>
      </rPr>
      <t>AKA (L4) (L)</t>
    </r>
  </si>
  <si>
    <r>
      <rPr>
        <sz val="5.5"/>
        <color theme="1"/>
        <rFont val="Tahoma"/>
        <family val="2"/>
      </rPr>
      <t xml:space="preserve">KIM DONGHYUN
</t>
    </r>
    <r>
      <rPr>
        <b/>
        <sz val="5.5"/>
        <color theme="1"/>
        <rFont val="Tahoma"/>
        <family val="2"/>
      </rPr>
      <t>KYLE (L6) (S)</t>
    </r>
  </si>
  <si>
    <r>
      <rPr>
        <sz val="5.5"/>
        <color theme="1"/>
        <rFont val="Tahoma"/>
        <family val="2"/>
      </rPr>
      <t xml:space="preserve">RINA ANDO
</t>
    </r>
    <r>
      <rPr>
        <b/>
        <sz val="5.5"/>
        <color theme="1"/>
        <rFont val="Tahoma"/>
        <family val="2"/>
      </rPr>
      <t>SORA (L5) (S)</t>
    </r>
  </si>
  <si>
    <t>M42</t>
  </si>
  <si>
    <t>MARIBEL</t>
  </si>
  <si>
    <r>
      <rPr>
        <sz val="5.5"/>
        <color theme="1"/>
        <rFont val="Tahoma"/>
        <family val="2"/>
      </rPr>
      <t xml:space="preserve">SHIOKAWA RIHO
</t>
    </r>
    <r>
      <rPr>
        <b/>
        <sz val="5.5"/>
        <color theme="1"/>
        <rFont val="Tahoma"/>
        <family val="2"/>
      </rPr>
      <t>RIHO (L4) (S)</t>
    </r>
  </si>
  <si>
    <r>
      <rPr>
        <sz val="5.5"/>
        <color theme="1"/>
        <rFont val="Tahoma"/>
        <family val="2"/>
      </rPr>
      <t xml:space="preserve">LU YEH HSIN
</t>
    </r>
    <r>
      <rPr>
        <b/>
        <sz val="5.5"/>
        <color theme="1"/>
        <rFont val="Tahoma"/>
        <family val="2"/>
      </rPr>
      <t>LUME (L4) (L.)</t>
    </r>
  </si>
  <si>
    <r>
      <rPr>
        <sz val="5.5"/>
        <color theme="1"/>
        <rFont val="Tahoma"/>
        <family val="2"/>
      </rPr>
      <t xml:space="preserve">KIMEUNJUNG
</t>
    </r>
    <r>
      <rPr>
        <b/>
        <sz val="5.5"/>
        <color theme="1"/>
        <rFont val="Tahoma"/>
        <family val="2"/>
      </rPr>
      <t>MISA (L3) (W)</t>
    </r>
  </si>
  <si>
    <r>
      <rPr>
        <sz val="5.5"/>
        <rFont val="Tahoma"/>
        <family val="2"/>
      </rPr>
      <t xml:space="preserve">HSU WEI CHENG
</t>
    </r>
    <r>
      <rPr>
        <b/>
        <sz val="5.5"/>
        <rFont val="Tahoma"/>
        <family val="2"/>
      </rPr>
      <t>CHENG</t>
    </r>
    <r>
      <rPr>
        <sz val="5.5"/>
        <rFont val="Tahoma"/>
        <family val="2"/>
      </rPr>
      <t xml:space="preserve"> (L1) (S)</t>
    </r>
  </si>
  <si>
    <t>CHAN CHAN</t>
  </si>
  <si>
    <t>M43</t>
  </si>
  <si>
    <t>NATHAN</t>
  </si>
  <si>
    <r>
      <rPr>
        <sz val="5.5"/>
        <color theme="1"/>
        <rFont val="Tahoma"/>
        <family val="2"/>
      </rPr>
      <t xml:space="preserve">SUZUKI RYUSEI
</t>
    </r>
    <r>
      <rPr>
        <b/>
        <sz val="5.5"/>
        <color theme="1"/>
        <rFont val="Tahoma"/>
        <family val="2"/>
      </rPr>
      <t>RYU (L2) (L)</t>
    </r>
  </si>
  <si>
    <r>
      <rPr>
        <sz val="5.5"/>
        <color theme="1"/>
        <rFont val="Tahoma"/>
        <family val="2"/>
      </rPr>
      <t xml:space="preserve">LEEKWANGPIL
</t>
    </r>
    <r>
      <rPr>
        <b/>
        <sz val="5.5"/>
        <color theme="1"/>
        <rFont val="Tahoma"/>
        <family val="2"/>
      </rPr>
      <t>PHILIP (L5) (S)</t>
    </r>
  </si>
  <si>
    <r>
      <rPr>
        <sz val="5.5"/>
        <color theme="1"/>
        <rFont val="Tahoma"/>
        <family val="2"/>
      </rPr>
      <t xml:space="preserve">HANDA TADAYOSHI
</t>
    </r>
    <r>
      <rPr>
        <b/>
        <sz val="5.5"/>
        <color theme="1"/>
        <rFont val="Tahoma"/>
        <family val="2"/>
      </rPr>
      <t>YORI (L4) (L)</t>
    </r>
  </si>
  <si>
    <r>
      <rPr>
        <sz val="5.5"/>
        <rFont val="Tahoma"/>
        <family val="2"/>
      </rPr>
      <t xml:space="preserve">HOU YI RU
</t>
    </r>
    <r>
      <rPr>
        <b/>
        <sz val="5.5"/>
        <rFont val="Tahoma"/>
        <family val="2"/>
      </rPr>
      <t>JOANNE(L5) (S)</t>
    </r>
  </si>
  <si>
    <r>
      <rPr>
        <sz val="5.5"/>
        <rFont val="Tahoma"/>
        <family val="2"/>
      </rPr>
      <t xml:space="preserve">CHO JUNHEE
</t>
    </r>
    <r>
      <rPr>
        <b/>
        <sz val="5.5"/>
        <rFont val="Tahoma"/>
        <family val="2"/>
      </rPr>
      <t>ERIC (L6) (L)</t>
    </r>
  </si>
  <si>
    <r>
      <rPr>
        <sz val="5.5"/>
        <rFont val="Tahoma"/>
        <family val="2"/>
      </rPr>
      <t xml:space="preserve">LEE EUNJI
</t>
    </r>
    <r>
      <rPr>
        <b/>
        <sz val="5.5"/>
        <rFont val="Tahoma"/>
        <family val="2"/>
      </rPr>
      <t>JESSI (L4) (S)</t>
    </r>
  </si>
  <si>
    <t>M44</t>
  </si>
  <si>
    <t>AZIL</t>
  </si>
  <si>
    <r>
      <rPr>
        <sz val="5.5"/>
        <color theme="1"/>
        <rFont val="Tahoma"/>
        <family val="2"/>
      </rPr>
      <t xml:space="preserve">HAN MINSU
</t>
    </r>
    <r>
      <rPr>
        <b/>
        <sz val="5.5"/>
        <color theme="1"/>
        <rFont val="Tahoma"/>
        <family val="2"/>
      </rPr>
      <t>HAN (L1)(L)</t>
    </r>
  </si>
  <si>
    <r>
      <rPr>
        <sz val="5.5"/>
        <rFont val="Tahoma"/>
        <family val="2"/>
      </rPr>
      <t xml:space="preserve">SHINWOOSIK
</t>
    </r>
    <r>
      <rPr>
        <b/>
        <sz val="5.5"/>
        <rFont val="Tahoma"/>
        <family val="2"/>
      </rPr>
      <t>SIK (L1) (S)</t>
    </r>
  </si>
  <si>
    <r>
      <rPr>
        <sz val="5.5"/>
        <color theme="1"/>
        <rFont val="Tahoma"/>
        <family val="2"/>
      </rPr>
      <t xml:space="preserve">RIKU SAKAMOTO
</t>
    </r>
    <r>
      <rPr>
        <b/>
        <sz val="5.5"/>
        <color theme="1"/>
        <rFont val="Tahoma"/>
        <family val="2"/>
      </rPr>
      <t>RIKU (L6) (S)</t>
    </r>
  </si>
  <si>
    <r>
      <rPr>
        <sz val="5.5"/>
        <rFont val="Tahoma"/>
        <family val="2"/>
      </rPr>
      <t xml:space="preserve">KAWANAKA MOMO
</t>
    </r>
    <r>
      <rPr>
        <b/>
        <sz val="5.5"/>
        <rFont val="Tahoma"/>
        <family val="2"/>
      </rPr>
      <t>MOMO (L4) (L)</t>
    </r>
  </si>
  <si>
    <r>
      <rPr>
        <sz val="5.5"/>
        <color theme="1"/>
        <rFont val="Tahoma"/>
        <family val="2"/>
      </rPr>
      <t xml:space="preserve">JEON HYUNGJUN
</t>
    </r>
    <r>
      <rPr>
        <b/>
        <sz val="5.5"/>
        <color theme="1"/>
        <rFont val="Tahoma"/>
        <family val="2"/>
      </rPr>
      <t>JAKE (L5) (L)</t>
    </r>
  </si>
  <si>
    <t>M45</t>
  </si>
  <si>
    <t>MAICA</t>
  </si>
  <si>
    <r>
      <rPr>
        <sz val="5.5"/>
        <color theme="1"/>
        <rFont val="Tahoma"/>
        <family val="2"/>
      </rPr>
      <t xml:space="preserve">UEGAKI EIKAKU
</t>
    </r>
    <r>
      <rPr>
        <b/>
        <sz val="5.5"/>
        <color theme="1"/>
        <rFont val="Tahoma"/>
        <family val="2"/>
      </rPr>
      <t>KAKU (L4) (S)</t>
    </r>
  </si>
  <si>
    <r>
      <rPr>
        <sz val="5.5"/>
        <rFont val="Tahoma"/>
        <family val="2"/>
      </rPr>
      <t xml:space="preserve">CHO JUNHEE
</t>
    </r>
    <r>
      <rPr>
        <b/>
        <sz val="5.5"/>
        <rFont val="Tahoma"/>
        <family val="2"/>
      </rPr>
      <t>ERIC (L6) (S)</t>
    </r>
  </si>
  <si>
    <r>
      <rPr>
        <sz val="5.5"/>
        <color theme="1"/>
        <rFont val="Tahoma"/>
        <family val="2"/>
      </rPr>
      <t xml:space="preserve">WEI CHU CHUN
</t>
    </r>
    <r>
      <rPr>
        <b/>
        <sz val="5.5"/>
        <color theme="1"/>
        <rFont val="Tahoma"/>
        <family val="2"/>
      </rPr>
      <t>JING (L4) (L)</t>
    </r>
  </si>
  <si>
    <r>
      <rPr>
        <sz val="5.5"/>
        <rFont val="Tahoma"/>
        <family val="2"/>
      </rPr>
      <t xml:space="preserve">IIDA SAYAKA
</t>
    </r>
    <r>
      <rPr>
        <b/>
        <sz val="5.5"/>
        <rFont val="Tahoma"/>
        <family val="2"/>
      </rPr>
      <t>SAYAKA (L5) (L)</t>
    </r>
  </si>
  <si>
    <r>
      <rPr>
        <sz val="5.5"/>
        <color theme="1"/>
        <rFont val="Tahoma"/>
        <family val="2"/>
      </rPr>
      <t xml:space="preserve">YANG JUNGHEE
</t>
    </r>
    <r>
      <rPr>
        <b/>
        <sz val="5.5"/>
        <color theme="1"/>
        <rFont val="Tahoma"/>
        <family val="2"/>
      </rPr>
      <t>VIVIAN (L3) (L)</t>
    </r>
  </si>
  <si>
    <r>
      <rPr>
        <sz val="5.5"/>
        <color theme="1"/>
        <rFont val="Tahoma"/>
        <family val="2"/>
      </rPr>
      <t xml:space="preserve">NAKAMURA MASAYA
</t>
    </r>
    <r>
      <rPr>
        <b/>
        <sz val="5.5"/>
        <color theme="1"/>
        <rFont val="Tahoma"/>
        <family val="2"/>
      </rPr>
      <t>MASA (L6) (L)</t>
    </r>
  </si>
  <si>
    <t>M46</t>
  </si>
  <si>
    <t>ELS</t>
  </si>
  <si>
    <r>
      <rPr>
        <sz val="5.5"/>
        <color theme="1"/>
        <rFont val="Tahoma"/>
        <family val="2"/>
      </rPr>
      <t xml:space="preserve">HAN MINJI
</t>
    </r>
    <r>
      <rPr>
        <b/>
        <sz val="5.5"/>
        <color theme="1"/>
        <rFont val="Tahoma"/>
        <family val="2"/>
      </rPr>
      <t>BONNIE (L6) (L)</t>
    </r>
  </si>
  <si>
    <r>
      <rPr>
        <sz val="5.5"/>
        <rFont val="Tahoma"/>
        <family val="2"/>
      </rPr>
      <t xml:space="preserve">JUNG EUNJU
</t>
    </r>
    <r>
      <rPr>
        <b/>
        <sz val="5.5"/>
        <rFont val="Tahoma"/>
        <family val="2"/>
      </rPr>
      <t>AUDREY (L5) (S)</t>
    </r>
  </si>
  <si>
    <r>
      <rPr>
        <sz val="5.5"/>
        <color theme="1"/>
        <rFont val="Tahoma"/>
        <family val="2"/>
      </rPr>
      <t xml:space="preserve">HONG WOO RIN
</t>
    </r>
    <r>
      <rPr>
        <b/>
        <sz val="5.5"/>
        <color theme="1"/>
        <rFont val="Tahoma"/>
        <family val="2"/>
      </rPr>
      <t>DANIEL HONG (L3) (L)</t>
    </r>
  </si>
  <si>
    <r>
      <rPr>
        <sz val="5.5"/>
        <rFont val="Tahoma"/>
        <family val="2"/>
      </rPr>
      <t xml:space="preserve">SHINWOOSIK
</t>
    </r>
    <r>
      <rPr>
        <b/>
        <sz val="5.5"/>
        <rFont val="Tahoma"/>
        <family val="2"/>
      </rPr>
      <t>SIK (L1) (L)</t>
    </r>
  </si>
  <si>
    <r>
      <rPr>
        <sz val="5.5"/>
        <color theme="1"/>
        <rFont val="Tahoma"/>
        <family val="2"/>
      </rPr>
      <t xml:space="preserve">MAYU FUJIWARA
</t>
    </r>
    <r>
      <rPr>
        <b/>
        <sz val="5.5"/>
        <color theme="1"/>
        <rFont val="Tahoma"/>
        <family val="2"/>
      </rPr>
      <t>MAYU (L4) (L)</t>
    </r>
  </si>
  <si>
    <r>
      <rPr>
        <sz val="5.5"/>
        <color theme="1"/>
        <rFont val="Tahoma"/>
        <family val="2"/>
      </rPr>
      <t>SASAKI TAEKO</t>
    </r>
    <r>
      <rPr>
        <b/>
        <sz val="5.5"/>
        <color theme="1"/>
        <rFont val="Tahoma"/>
        <family val="2"/>
      </rPr>
      <t xml:space="preserve">
TAEKO (L5) (S)</t>
    </r>
  </si>
  <si>
    <r>
      <rPr>
        <sz val="5.5"/>
        <color theme="1"/>
        <rFont val="Tahoma"/>
        <family val="2"/>
      </rPr>
      <t xml:space="preserve">NOH HYUK MIN
</t>
    </r>
    <r>
      <rPr>
        <b/>
        <sz val="5.5"/>
        <color theme="1"/>
        <rFont val="Tahoma"/>
        <family val="2"/>
      </rPr>
      <t>NOH (L6) (S)</t>
    </r>
  </si>
  <si>
    <r>
      <rPr>
        <sz val="5.5"/>
        <rFont val="Tahoma"/>
        <family val="2"/>
      </rPr>
      <t xml:space="preserve">BYEONGCHEOL PARK
</t>
    </r>
    <r>
      <rPr>
        <b/>
        <sz val="5.5"/>
        <rFont val="Tahoma"/>
        <family val="2"/>
      </rPr>
      <t>WOODY (L3) (S)</t>
    </r>
  </si>
  <si>
    <r>
      <rPr>
        <sz val="5.5"/>
        <color theme="1"/>
        <rFont val="Tahoma"/>
        <family val="2"/>
      </rPr>
      <t xml:space="preserve">NAKAMORI HOMARE
</t>
    </r>
    <r>
      <rPr>
        <b/>
        <sz val="5.5"/>
        <color theme="1"/>
        <rFont val="Tahoma"/>
        <family val="2"/>
      </rPr>
      <t>HOMA (L5)  (S)</t>
    </r>
  </si>
  <si>
    <r>
      <rPr>
        <sz val="5.5"/>
        <rFont val="Tahoma"/>
        <family val="2"/>
      </rPr>
      <t xml:space="preserve">RYOMA UECHI
</t>
    </r>
    <r>
      <rPr>
        <b/>
        <sz val="5.5"/>
        <rFont val="Tahoma"/>
        <family val="2"/>
      </rPr>
      <t>RYO (L4) (S)</t>
    </r>
  </si>
  <si>
    <t>M47</t>
  </si>
  <si>
    <t>SAI</t>
  </si>
  <si>
    <r>
      <rPr>
        <sz val="5.5"/>
        <color theme="1"/>
        <rFont val="Tahoma"/>
        <family val="2"/>
      </rPr>
      <t xml:space="preserve">LEE SIIN
</t>
    </r>
    <r>
      <rPr>
        <b/>
        <sz val="5.5"/>
        <color theme="1"/>
        <rFont val="Tahoma"/>
        <family val="2"/>
      </rPr>
      <t>CINDY (L2) (L)</t>
    </r>
  </si>
  <si>
    <r>
      <rPr>
        <sz val="5.5"/>
        <color theme="1"/>
        <rFont val="Tahoma"/>
        <family val="2"/>
      </rPr>
      <t xml:space="preserve">NISHIOKA KAYO
</t>
    </r>
    <r>
      <rPr>
        <b/>
        <sz val="5.5"/>
        <color theme="1"/>
        <rFont val="Tahoma"/>
        <family val="2"/>
      </rPr>
      <t>LILY (L4) (S)</t>
    </r>
  </si>
  <si>
    <r>
      <rPr>
        <sz val="5.5"/>
        <color theme="1"/>
        <rFont val="Tahoma"/>
        <family val="2"/>
      </rPr>
      <t xml:space="preserve">LEEKWANGPIL
</t>
    </r>
    <r>
      <rPr>
        <b/>
        <sz val="5.5"/>
        <color theme="1"/>
        <rFont val="Tahoma"/>
        <family val="2"/>
      </rPr>
      <t>PHILIP (L5) (L)</t>
    </r>
  </si>
  <si>
    <r>
      <rPr>
        <sz val="5.5"/>
        <color theme="1"/>
        <rFont val="Tahoma"/>
        <family val="2"/>
      </rPr>
      <t xml:space="preserve">OSHIRO RYO
</t>
    </r>
    <r>
      <rPr>
        <b/>
        <sz val="5.5"/>
        <color theme="1"/>
        <rFont val="Tahoma"/>
        <family val="2"/>
      </rPr>
      <t>OSHIRO (L4) (S)</t>
    </r>
  </si>
  <si>
    <r>
      <rPr>
        <sz val="5.5"/>
        <color theme="1"/>
        <rFont val="Tahoma"/>
        <family val="2"/>
      </rPr>
      <t xml:space="preserve">HSU CHAO CHIA
</t>
    </r>
    <r>
      <rPr>
        <b/>
        <sz val="5.5"/>
        <color theme="1"/>
        <rFont val="Tahoma"/>
        <family val="2"/>
      </rPr>
      <t>JACK (L4) (L)</t>
    </r>
  </si>
  <si>
    <r>
      <rPr>
        <sz val="5.5"/>
        <color theme="1"/>
        <rFont val="Tahoma"/>
        <family val="2"/>
      </rPr>
      <t xml:space="preserve">KIM DONGHYUN
</t>
    </r>
    <r>
      <rPr>
        <b/>
        <sz val="5.5"/>
        <color theme="1"/>
        <rFont val="Tahoma"/>
        <family val="2"/>
      </rPr>
      <t>KYLE (L6) (L)</t>
    </r>
  </si>
  <si>
    <r>
      <rPr>
        <sz val="5.5"/>
        <color theme="1"/>
        <rFont val="Tahoma"/>
        <family val="2"/>
      </rPr>
      <t xml:space="preserve">KASHIMA YUME
</t>
    </r>
    <r>
      <rPr>
        <b/>
        <sz val="5.5"/>
        <color theme="1"/>
        <rFont val="Tahoma"/>
        <family val="2"/>
      </rPr>
      <t>YUME (L4) (S)</t>
    </r>
  </si>
  <si>
    <r>
      <rPr>
        <sz val="5.5"/>
        <color theme="1"/>
        <rFont val="Tahoma"/>
        <family val="2"/>
      </rPr>
      <t xml:space="preserve">HAN MINSU
</t>
    </r>
    <r>
      <rPr>
        <b/>
        <sz val="5.5"/>
        <color theme="1"/>
        <rFont val="Tahoma"/>
        <family val="2"/>
      </rPr>
      <t>HAN (L1) (S)</t>
    </r>
  </si>
  <si>
    <t>M48</t>
  </si>
  <si>
    <t>SARAH</t>
  </si>
  <si>
    <r>
      <rPr>
        <sz val="5.5"/>
        <color theme="1"/>
        <rFont val="Tahoma"/>
        <family val="2"/>
      </rPr>
      <t xml:space="preserve">HAN MINSU
</t>
    </r>
    <r>
      <rPr>
        <b/>
        <sz val="5.5"/>
        <color theme="1"/>
        <rFont val="Tahoma"/>
        <family val="2"/>
      </rPr>
      <t>HAN (L1)(S)</t>
    </r>
  </si>
  <si>
    <r>
      <rPr>
        <sz val="5.5"/>
        <color theme="1"/>
        <rFont val="Tahoma"/>
        <family val="2"/>
      </rPr>
      <t xml:space="preserve">TATSUMI CHISATO
</t>
    </r>
    <r>
      <rPr>
        <b/>
        <sz val="5.5"/>
        <color theme="1"/>
        <rFont val="Tahoma"/>
        <family val="2"/>
      </rPr>
      <t>CHII (L4) (L)</t>
    </r>
  </si>
  <si>
    <r>
      <rPr>
        <sz val="5.5"/>
        <rFont val="Tahoma"/>
        <family val="2"/>
      </rPr>
      <t xml:space="preserve">LEE EUNJEONG
</t>
    </r>
    <r>
      <rPr>
        <b/>
        <sz val="5.5"/>
        <rFont val="Tahoma"/>
        <family val="2"/>
      </rPr>
      <t>JEONG (L5) (S)</t>
    </r>
  </si>
  <si>
    <r>
      <rPr>
        <sz val="5.5"/>
        <rFont val="Tahoma"/>
        <family val="2"/>
      </rPr>
      <t xml:space="preserve">KANG YUMI
</t>
    </r>
    <r>
      <rPr>
        <b/>
        <sz val="5.5"/>
        <rFont val="Tahoma"/>
        <family val="2"/>
      </rPr>
      <t>YUMI (L1) (L)</t>
    </r>
  </si>
  <si>
    <r>
      <rPr>
        <sz val="5.5"/>
        <color theme="1"/>
        <rFont val="Tahoma"/>
        <family val="2"/>
      </rPr>
      <t xml:space="preserve">KITA AKANE
</t>
    </r>
    <r>
      <rPr>
        <b/>
        <sz val="5.5"/>
        <color theme="1"/>
        <rFont val="Tahoma"/>
        <family val="2"/>
      </rPr>
      <t>AKA (L4) (S)</t>
    </r>
  </si>
  <si>
    <t>M49</t>
  </si>
  <si>
    <t>HEZEN</t>
  </si>
  <si>
    <r>
      <rPr>
        <sz val="5.5"/>
        <color theme="1"/>
        <rFont val="Tahoma"/>
        <family val="2"/>
      </rPr>
      <t xml:space="preserve">MINJI KANG
</t>
    </r>
    <r>
      <rPr>
        <b/>
        <sz val="5.5"/>
        <color theme="1"/>
        <rFont val="Tahoma"/>
        <family val="2"/>
      </rPr>
      <t>JENNA (L6) (S)</t>
    </r>
  </si>
  <si>
    <r>
      <rPr>
        <sz val="5.5"/>
        <color theme="1"/>
        <rFont val="Tahoma"/>
        <family val="2"/>
      </rPr>
      <t xml:space="preserve">YAMASHITA ERIKA
</t>
    </r>
    <r>
      <rPr>
        <b/>
        <sz val="5.5"/>
        <color theme="1"/>
        <rFont val="Tahoma"/>
        <family val="2"/>
      </rPr>
      <t>ELLY (L5) (L)</t>
    </r>
  </si>
  <si>
    <r>
      <rPr>
        <sz val="5.5"/>
        <rFont val="Tahoma"/>
        <family val="2"/>
      </rPr>
      <t>ERIKA KAKUTA</t>
    </r>
    <r>
      <rPr>
        <b/>
        <sz val="5.5"/>
        <rFont val="Tahoma"/>
        <family val="2"/>
      </rPr>
      <t xml:space="preserve">
ERIKA (L)</t>
    </r>
  </si>
  <si>
    <r>
      <rPr>
        <sz val="5.5"/>
        <color theme="1"/>
        <rFont val="Tahoma"/>
        <family val="2"/>
      </rPr>
      <t xml:space="preserve">LEE HYUN SEON
</t>
    </r>
    <r>
      <rPr>
        <b/>
        <sz val="5.5"/>
        <color theme="1"/>
        <rFont val="Tahoma"/>
        <family val="2"/>
      </rPr>
      <t>JULIA (L5) (L)</t>
    </r>
  </si>
  <si>
    <r>
      <rPr>
        <sz val="5.5"/>
        <color theme="1"/>
        <rFont val="Tahoma"/>
        <family val="2"/>
      </rPr>
      <t xml:space="preserve">NAKAMURA MASAYA
</t>
    </r>
    <r>
      <rPr>
        <b/>
        <sz val="5.5"/>
        <color theme="1"/>
        <rFont val="Tahoma"/>
        <family val="2"/>
      </rPr>
      <t>MASA (L6) (S)</t>
    </r>
  </si>
  <si>
    <r>
      <rPr>
        <sz val="5.5"/>
        <color theme="1"/>
        <rFont val="Tahoma"/>
        <family val="2"/>
      </rPr>
      <t xml:space="preserve">HAN MINSU
</t>
    </r>
    <r>
      <rPr>
        <b/>
        <sz val="5.5"/>
        <color theme="1"/>
        <rFont val="Tahoma"/>
        <family val="2"/>
      </rPr>
      <t>HAN (L1) (L)</t>
    </r>
  </si>
  <si>
    <t>M50</t>
  </si>
  <si>
    <t>ANJIE</t>
  </si>
  <si>
    <r>
      <rPr>
        <sz val="5.5"/>
        <color theme="1"/>
        <rFont val="Tahoma"/>
        <family val="2"/>
      </rPr>
      <t xml:space="preserve">LIN CHENG EN
</t>
    </r>
    <r>
      <rPr>
        <b/>
        <sz val="5.5"/>
        <color theme="1"/>
        <rFont val="Tahoma"/>
        <family val="2"/>
      </rPr>
      <t>JERRY LIN (L4) (S)</t>
    </r>
  </si>
  <si>
    <r>
      <rPr>
        <sz val="5.5"/>
        <color theme="1"/>
        <rFont val="Tahoma"/>
        <family val="2"/>
      </rPr>
      <t xml:space="preserve">ZHOU ER XIANG
</t>
    </r>
    <r>
      <rPr>
        <b/>
        <sz val="5.5"/>
        <color theme="1"/>
        <rFont val="Tahoma"/>
        <family val="2"/>
      </rPr>
      <t>ALAN (L3) (S)</t>
    </r>
  </si>
  <si>
    <r>
      <rPr>
        <sz val="5.5"/>
        <color rgb="FF000000"/>
        <rFont val="Tahoma"/>
        <family val="2"/>
      </rPr>
      <t xml:space="preserve">TRAN THI NGOC NGAN
</t>
    </r>
    <r>
      <rPr>
        <b/>
        <sz val="5.5"/>
        <color rgb="FF000000"/>
        <rFont val="Tahoma"/>
        <family val="2"/>
      </rPr>
      <t>SAMMY</t>
    </r>
  </si>
  <si>
    <r>
      <rPr>
        <sz val="5.5"/>
        <rFont val="Tahoma"/>
        <family val="2"/>
      </rPr>
      <t xml:space="preserve">SUGAWARA YU
</t>
    </r>
    <r>
      <rPr>
        <b/>
        <sz val="5.5"/>
        <rFont val="Tahoma"/>
        <family val="2"/>
      </rPr>
      <t>YU (l3) (S)</t>
    </r>
  </si>
  <si>
    <r>
      <rPr>
        <sz val="5.5"/>
        <color theme="1"/>
        <rFont val="Tahoma"/>
        <family val="2"/>
      </rPr>
      <t xml:space="preserve">KAO KAI TING
</t>
    </r>
    <r>
      <rPr>
        <b/>
        <sz val="5.5"/>
        <color theme="1"/>
        <rFont val="Tahoma"/>
        <family val="2"/>
      </rPr>
      <t>JOSH (L2) (L)</t>
    </r>
  </si>
  <si>
    <r>
      <rPr>
        <sz val="5.5"/>
        <color theme="1"/>
        <rFont val="Tahoma"/>
        <family val="2"/>
      </rPr>
      <t xml:space="preserve">HUANG ZHI HAO
</t>
    </r>
    <r>
      <rPr>
        <b/>
        <sz val="5.5"/>
        <color theme="1"/>
        <rFont val="Tahoma"/>
        <family val="2"/>
      </rPr>
      <t>HOWARD (L1) (S)</t>
    </r>
  </si>
  <si>
    <r>
      <rPr>
        <sz val="5.5"/>
        <color theme="1"/>
        <rFont val="Tahoma"/>
        <family val="2"/>
      </rPr>
      <t xml:space="preserve">MIIKE YUTA
</t>
    </r>
    <r>
      <rPr>
        <b/>
        <sz val="5.5"/>
        <color theme="1"/>
        <rFont val="Tahoma"/>
        <family val="2"/>
      </rPr>
      <t>MIKE (L5)(S)</t>
    </r>
  </si>
  <si>
    <r>
      <rPr>
        <sz val="5.5"/>
        <color theme="1"/>
        <rFont val="Tahoma"/>
        <family val="2"/>
      </rPr>
      <t xml:space="preserve">YU TSUNG YEH
</t>
    </r>
    <r>
      <rPr>
        <b/>
        <sz val="5.5"/>
        <color theme="1"/>
        <rFont val="Tahoma"/>
        <family val="2"/>
      </rPr>
      <t>MARK (L6) (R)</t>
    </r>
  </si>
  <si>
    <t>GENEVEB</t>
  </si>
  <si>
    <t>M51</t>
  </si>
  <si>
    <t>YANG YANG</t>
  </si>
  <si>
    <r>
      <rPr>
        <sz val="5.5"/>
        <rFont val="Tahoma"/>
        <family val="2"/>
      </rPr>
      <t xml:space="preserve">YAMAMOTO KEI
</t>
    </r>
    <r>
      <rPr>
        <b/>
        <sz val="5.5"/>
        <rFont val="Tahoma"/>
        <family val="2"/>
      </rPr>
      <t>KEI (L4) (L)</t>
    </r>
  </si>
  <si>
    <r>
      <rPr>
        <sz val="5.5"/>
        <rFont val="Tahoma"/>
        <family val="2"/>
      </rPr>
      <t xml:space="preserve">NAKANISHI MAKI
</t>
    </r>
    <r>
      <rPr>
        <b/>
        <sz val="5.5"/>
        <rFont val="Tahoma"/>
        <family val="2"/>
      </rPr>
      <t>NOA (L6) (S)</t>
    </r>
  </si>
  <si>
    <r>
      <rPr>
        <sz val="5.5"/>
        <rFont val="Tahoma"/>
        <family val="2"/>
      </rPr>
      <t xml:space="preserve">FUGA KITO
</t>
    </r>
    <r>
      <rPr>
        <b/>
        <sz val="5.5"/>
        <rFont val="Tahoma"/>
        <family val="2"/>
      </rPr>
      <t>FUGA (L4) (S)</t>
    </r>
  </si>
  <si>
    <r>
      <rPr>
        <sz val="5.5"/>
        <rFont val="Tahoma"/>
        <family val="2"/>
      </rPr>
      <t xml:space="preserve">JUNG EUNJU
</t>
    </r>
    <r>
      <rPr>
        <b/>
        <sz val="5.5"/>
        <rFont val="Tahoma"/>
        <family val="2"/>
      </rPr>
      <t>AUDREY (L5) (L)</t>
    </r>
  </si>
  <si>
    <r>
      <rPr>
        <sz val="5.5"/>
        <rFont val="Tahoma"/>
        <family val="2"/>
      </rPr>
      <t xml:space="preserve">NGUYEN THI TU TRINH
</t>
    </r>
    <r>
      <rPr>
        <b/>
        <sz val="5.5"/>
        <rFont val="Tahoma"/>
        <family val="2"/>
      </rPr>
      <t>TRINH (L4) (L)</t>
    </r>
  </si>
  <si>
    <r>
      <rPr>
        <sz val="5.5"/>
        <rFont val="Tahoma"/>
        <family val="2"/>
      </rPr>
      <t xml:space="preserve">ISHIZAKI YURI
</t>
    </r>
    <r>
      <rPr>
        <b/>
        <sz val="5.5"/>
        <rFont val="Tahoma"/>
        <family val="2"/>
      </rPr>
      <t xml:space="preserve">YURI (L6)(S)
</t>
    </r>
  </si>
  <si>
    <t>M52</t>
  </si>
  <si>
    <t>DAYVE</t>
  </si>
  <si>
    <r>
      <rPr>
        <sz val="5.5"/>
        <color theme="1"/>
        <rFont val="Tahoma"/>
        <family val="2"/>
      </rPr>
      <t xml:space="preserve">SEKI TAKAHIRO
</t>
    </r>
    <r>
      <rPr>
        <b/>
        <sz val="5.5"/>
        <color theme="1"/>
        <rFont val="Tahoma"/>
        <family val="2"/>
      </rPr>
      <t>KING (L5) (S)</t>
    </r>
  </si>
  <si>
    <r>
      <rPr>
        <sz val="5.5"/>
        <color theme="1"/>
        <rFont val="Tahoma"/>
        <family val="2"/>
      </rPr>
      <t xml:space="preserve">KIM JISU
</t>
    </r>
    <r>
      <rPr>
        <b/>
        <sz val="5.5"/>
        <color theme="1"/>
        <rFont val="Tahoma"/>
        <family val="2"/>
      </rPr>
      <t>JISU (L3) (L)</t>
    </r>
  </si>
  <si>
    <r>
      <rPr>
        <sz val="5.5"/>
        <color theme="1"/>
        <rFont val="Tahoma"/>
        <family val="2"/>
      </rPr>
      <t xml:space="preserve">LEEKYUNGSUN
</t>
    </r>
    <r>
      <rPr>
        <b/>
        <sz val="5.5"/>
        <color theme="1"/>
        <rFont val="Tahoma"/>
        <family val="2"/>
      </rPr>
      <t>SUNNY (l3) (L)</t>
    </r>
  </si>
  <si>
    <r>
      <rPr>
        <sz val="5.5"/>
        <color theme="1"/>
        <rFont val="Tahoma"/>
        <family val="2"/>
      </rPr>
      <t xml:space="preserve">YURI CHOI
</t>
    </r>
    <r>
      <rPr>
        <b/>
        <sz val="5.5"/>
        <color theme="1"/>
        <rFont val="Tahoma"/>
        <family val="2"/>
      </rPr>
      <t>DOROTHY (L4) (L)</t>
    </r>
  </si>
  <si>
    <r>
      <rPr>
        <sz val="5.5"/>
        <rFont val="Tahoma"/>
        <family val="2"/>
      </rPr>
      <t xml:space="preserve">CHIHO KASAISHI
</t>
    </r>
    <r>
      <rPr>
        <b/>
        <sz val="5.5"/>
        <rFont val="Tahoma"/>
        <family val="2"/>
      </rPr>
      <t>CHIHO (L4) (L)</t>
    </r>
  </si>
  <si>
    <r>
      <rPr>
        <sz val="5.5"/>
        <rFont val="Tahoma"/>
        <family val="2"/>
      </rPr>
      <t xml:space="preserve">CHEN JIAN HONG
</t>
    </r>
    <r>
      <rPr>
        <b/>
        <sz val="5.5"/>
        <rFont val="Tahoma"/>
        <family val="2"/>
      </rPr>
      <t>JIM(L3) (S)</t>
    </r>
  </si>
  <si>
    <t>LOVELY</t>
  </si>
  <si>
    <t>M53</t>
  </si>
  <si>
    <t>KASPER</t>
  </si>
  <si>
    <r>
      <rPr>
        <sz val="5.5"/>
        <rFont val="Tahoma"/>
        <family val="2"/>
      </rPr>
      <t xml:space="preserve">BYEONGCHEOL PARK
</t>
    </r>
    <r>
      <rPr>
        <b/>
        <sz val="5.5"/>
        <rFont val="Tahoma"/>
        <family val="2"/>
      </rPr>
      <t>WOODY (L3) (L)</t>
    </r>
  </si>
  <si>
    <r>
      <rPr>
        <sz val="5.5"/>
        <color theme="1"/>
        <rFont val="Tahoma"/>
        <family val="2"/>
      </rPr>
      <t xml:space="preserve">NOH HYUK MIN
</t>
    </r>
    <r>
      <rPr>
        <b/>
        <sz val="5.5"/>
        <color theme="1"/>
        <rFont val="Tahoma"/>
        <family val="2"/>
      </rPr>
      <t>NOH (L6) (L)</t>
    </r>
  </si>
  <si>
    <r>
      <rPr>
        <sz val="5.5"/>
        <rFont val="Tahoma"/>
        <family val="2"/>
      </rPr>
      <t xml:space="preserve">LIU HUNG CHIEH
</t>
    </r>
    <r>
      <rPr>
        <b/>
        <sz val="5.5"/>
        <rFont val="Tahoma"/>
        <family val="2"/>
      </rPr>
      <t>JACKY(L5) (L)</t>
    </r>
  </si>
  <si>
    <r>
      <rPr>
        <sz val="5.5"/>
        <color theme="1"/>
        <rFont val="Tahoma"/>
        <family val="2"/>
      </rPr>
      <t xml:space="preserve">TAMURA MAMIKO
</t>
    </r>
    <r>
      <rPr>
        <b/>
        <sz val="5.5"/>
        <color theme="1"/>
        <rFont val="Tahoma"/>
        <family val="2"/>
      </rPr>
      <t>MAMIKO (L6) (L)</t>
    </r>
  </si>
  <si>
    <r>
      <rPr>
        <sz val="5.5"/>
        <rFont val="Tahoma"/>
        <family val="2"/>
      </rPr>
      <t xml:space="preserve">NAKANISHI MAKI
</t>
    </r>
    <r>
      <rPr>
        <b/>
        <sz val="5.5"/>
        <rFont val="Tahoma"/>
        <family val="2"/>
      </rPr>
      <t>NOA (L6) (L)</t>
    </r>
  </si>
  <si>
    <r>
      <rPr>
        <sz val="5.5"/>
        <color theme="1"/>
        <rFont val="Tahoma"/>
        <family val="2"/>
      </rPr>
      <t xml:space="preserve">ALAMMAJ FAISAL
</t>
    </r>
    <r>
      <rPr>
        <b/>
        <sz val="5.5"/>
        <color theme="1"/>
        <rFont val="Tahoma"/>
        <family val="2"/>
      </rPr>
      <t>FAISAL (L3) (L)</t>
    </r>
  </si>
  <si>
    <r>
      <rPr>
        <sz val="5.5"/>
        <rFont val="Tahoma"/>
        <family val="2"/>
      </rPr>
      <t xml:space="preserve">LEE YOUNGSOO
</t>
    </r>
    <r>
      <rPr>
        <b/>
        <sz val="5.5"/>
        <rFont val="Tahoma"/>
        <family val="2"/>
      </rPr>
      <t>MARTIN (L6) (L)</t>
    </r>
  </si>
  <si>
    <r>
      <rPr>
        <sz val="5.5"/>
        <color theme="1"/>
        <rFont val="Tahoma"/>
        <family val="2"/>
      </rPr>
      <t xml:space="preserve">SEKI TAKAHIRO
</t>
    </r>
    <r>
      <rPr>
        <b/>
        <sz val="5.5"/>
        <color theme="1"/>
        <rFont val="Tahoma"/>
        <family val="2"/>
      </rPr>
      <t>KING (L5) (L)</t>
    </r>
  </si>
  <si>
    <t>M54</t>
  </si>
  <si>
    <t>RUTH</t>
  </si>
  <si>
    <r>
      <rPr>
        <sz val="5.5"/>
        <color theme="1"/>
        <rFont val="Tahoma"/>
        <family val="2"/>
      </rPr>
      <t xml:space="preserve">KITA AKANE
</t>
    </r>
    <r>
      <rPr>
        <b/>
        <sz val="5.5"/>
        <color theme="1"/>
        <rFont val="Tahoma"/>
        <family val="2"/>
      </rPr>
      <t>AKA (L4) (W)</t>
    </r>
  </si>
  <si>
    <r>
      <rPr>
        <sz val="5.5"/>
        <color theme="1"/>
        <rFont val="Tahoma"/>
        <family val="2"/>
      </rPr>
      <t xml:space="preserve">ABDULMALEK OMAR
</t>
    </r>
    <r>
      <rPr>
        <b/>
        <sz val="5.5"/>
        <color theme="1"/>
        <rFont val="Tahoma"/>
        <family val="2"/>
      </rPr>
      <t>MALEK (L3) (W)</t>
    </r>
  </si>
  <si>
    <r>
      <rPr>
        <sz val="5.5"/>
        <color theme="1"/>
        <rFont val="Tahoma"/>
        <family val="2"/>
      </rPr>
      <t xml:space="preserve">JUNHYUNG JIN
</t>
    </r>
    <r>
      <rPr>
        <b/>
        <sz val="5.5"/>
        <color theme="1"/>
        <rFont val="Tahoma"/>
        <family val="2"/>
      </rPr>
      <t>JERRY (L4) (W)</t>
    </r>
  </si>
  <si>
    <r>
      <rPr>
        <sz val="5.5"/>
        <color theme="1"/>
        <rFont val="Tahoma"/>
        <family val="2"/>
      </rPr>
      <t xml:space="preserve">SHIOKAWA RIHO
</t>
    </r>
    <r>
      <rPr>
        <b/>
        <sz val="5.5"/>
        <color theme="1"/>
        <rFont val="Tahoma"/>
        <family val="2"/>
      </rPr>
      <t>RIHO (L4) (R)</t>
    </r>
  </si>
  <si>
    <t>SHELLA</t>
  </si>
  <si>
    <t>M55</t>
  </si>
  <si>
    <t>AYRA</t>
  </si>
  <si>
    <r>
      <rPr>
        <sz val="5.5"/>
        <color theme="1"/>
        <rFont val="Tahoma"/>
        <family val="2"/>
      </rPr>
      <t xml:space="preserve">LEE HYUN SEON
</t>
    </r>
    <r>
      <rPr>
        <b/>
        <sz val="5.5"/>
        <color theme="1"/>
        <rFont val="Tahoma"/>
        <family val="2"/>
      </rPr>
      <t>JULIA (L5) (R)</t>
    </r>
  </si>
  <si>
    <r>
      <rPr>
        <sz val="5.5"/>
        <color theme="1"/>
        <rFont val="Tahoma"/>
        <family val="2"/>
      </rPr>
      <t xml:space="preserve">KIM JISU
</t>
    </r>
    <r>
      <rPr>
        <b/>
        <sz val="5.5"/>
        <color theme="1"/>
        <rFont val="Tahoma"/>
        <family val="2"/>
      </rPr>
      <t>JISU (L3) (R)</t>
    </r>
  </si>
  <si>
    <r>
      <rPr>
        <sz val="5.5"/>
        <color theme="1"/>
        <rFont val="Tahoma"/>
        <family val="2"/>
      </rPr>
      <t>WU MU SUNG</t>
    </r>
    <r>
      <rPr>
        <b/>
        <sz val="5.5"/>
        <color theme="1"/>
        <rFont val="Tahoma"/>
        <family val="2"/>
      </rPr>
      <t xml:space="preserve">
PIPI (L4) (W)</t>
    </r>
  </si>
  <si>
    <r>
      <rPr>
        <sz val="5.5"/>
        <color theme="1"/>
        <rFont val="Tahoma"/>
        <family val="2"/>
      </rPr>
      <t xml:space="preserve">ALZAHRANI, ABDULRAHMAN 
</t>
    </r>
    <r>
      <rPr>
        <b/>
        <sz val="5.5"/>
        <color theme="1"/>
        <rFont val="Tahoma"/>
        <family val="2"/>
      </rPr>
      <t>ALBERT (L3) (R)</t>
    </r>
  </si>
  <si>
    <r>
      <rPr>
        <sz val="5.5"/>
        <rFont val="Tahoma"/>
        <family val="2"/>
      </rPr>
      <t xml:space="preserve">ABDULLAH ADEL AWADH
</t>
    </r>
    <r>
      <rPr>
        <b/>
        <sz val="5.5"/>
        <rFont val="Tahoma"/>
        <family val="2"/>
      </rPr>
      <t xml:space="preserve">SADI (L3) (W) </t>
    </r>
  </si>
  <si>
    <r>
      <rPr>
        <sz val="5.5"/>
        <color theme="1"/>
        <rFont val="Tahoma"/>
        <family val="2"/>
      </rPr>
      <t xml:space="preserve">KITAMURA TAKUMI
</t>
    </r>
    <r>
      <rPr>
        <b/>
        <sz val="5.5"/>
        <color theme="1"/>
        <rFont val="Tahoma"/>
        <family val="2"/>
      </rPr>
      <t>TAKUMI (L5) (R)</t>
    </r>
  </si>
  <si>
    <r>
      <rPr>
        <sz val="5.5"/>
        <color theme="1"/>
        <rFont val="Tahoma"/>
        <family val="2"/>
      </rPr>
      <t xml:space="preserve">KIM MINJUN
</t>
    </r>
    <r>
      <rPr>
        <b/>
        <sz val="5.5"/>
        <color theme="1"/>
        <rFont val="Tahoma"/>
        <family val="2"/>
      </rPr>
      <t>TONY (L5) (W)</t>
    </r>
  </si>
  <si>
    <t>M56</t>
  </si>
  <si>
    <t>GEL</t>
  </si>
  <si>
    <r>
      <rPr>
        <sz val="5.5"/>
        <color theme="1"/>
        <rFont val="Tahoma"/>
        <family val="2"/>
      </rPr>
      <t xml:space="preserve">ABDULMALEK OMAR
</t>
    </r>
    <r>
      <rPr>
        <b/>
        <sz val="5.5"/>
        <color theme="1"/>
        <rFont val="Tahoma"/>
        <family val="2"/>
      </rPr>
      <t>MALEK (L3) (R)</t>
    </r>
  </si>
  <si>
    <r>
      <rPr>
        <sz val="5.5"/>
        <color theme="1"/>
        <rFont val="Tahoma"/>
        <family val="2"/>
      </rPr>
      <t xml:space="preserve">LEE HYUN SEON
</t>
    </r>
    <r>
      <rPr>
        <b/>
        <sz val="5.5"/>
        <color theme="1"/>
        <rFont val="Tahoma"/>
        <family val="2"/>
      </rPr>
      <t>JULIA (L5) (W)</t>
    </r>
  </si>
  <si>
    <r>
      <rPr>
        <sz val="5.5"/>
        <color theme="1"/>
        <rFont val="Tahoma"/>
        <family val="2"/>
      </rPr>
      <t xml:space="preserve">UEZU RYO
</t>
    </r>
    <r>
      <rPr>
        <b/>
        <sz val="5.5"/>
        <color theme="1"/>
        <rFont val="Tahoma"/>
        <family val="2"/>
      </rPr>
      <t>LIO (L4) (W)</t>
    </r>
  </si>
  <si>
    <r>
      <rPr>
        <sz val="5.5"/>
        <color theme="1"/>
        <rFont val="Tahoma"/>
        <family val="2"/>
      </rPr>
      <t xml:space="preserve">SEONG BAI LEE
</t>
    </r>
    <r>
      <rPr>
        <b/>
        <sz val="5.5"/>
        <color theme="1"/>
        <rFont val="Tahoma"/>
        <family val="2"/>
      </rPr>
      <t>LION (L1)</t>
    </r>
  </si>
  <si>
    <r>
      <rPr>
        <sz val="5.5"/>
        <rFont val="Tahoma"/>
        <family val="2"/>
      </rPr>
      <t xml:space="preserve">JIAN AN JIA
</t>
    </r>
    <r>
      <rPr>
        <b/>
        <sz val="5.5"/>
        <rFont val="Tahoma"/>
        <family val="2"/>
      </rPr>
      <t>ANJIE (L3) (R)</t>
    </r>
  </si>
  <si>
    <r>
      <rPr>
        <sz val="5.5"/>
        <color theme="1"/>
        <rFont val="Tahoma"/>
        <family val="2"/>
      </rPr>
      <t xml:space="preserve">TATSUMI CHISATO
</t>
    </r>
    <r>
      <rPr>
        <b/>
        <sz val="5.5"/>
        <color theme="1"/>
        <rFont val="Tahoma"/>
        <family val="2"/>
      </rPr>
      <t>CHII (L4) (W)</t>
    </r>
  </si>
  <si>
    <r>
      <rPr>
        <sz val="5.5"/>
        <color theme="1"/>
        <rFont val="Tahoma"/>
        <family val="2"/>
      </rPr>
      <t xml:space="preserve">UEGAKI EIKAKU
</t>
    </r>
    <r>
      <rPr>
        <b/>
        <sz val="5.5"/>
        <color theme="1"/>
        <rFont val="Tahoma"/>
        <family val="2"/>
      </rPr>
      <t>KAKU (L4) (W)</t>
    </r>
  </si>
  <si>
    <t>M57</t>
  </si>
  <si>
    <t>DIANA</t>
  </si>
  <si>
    <r>
      <rPr>
        <sz val="5.5"/>
        <color theme="1"/>
        <rFont val="Tahoma"/>
        <family val="2"/>
      </rPr>
      <t xml:space="preserve">HANDA TADAYOSHI
</t>
    </r>
    <r>
      <rPr>
        <b/>
        <sz val="5.5"/>
        <color theme="1"/>
        <rFont val="Tahoma"/>
        <family val="2"/>
      </rPr>
      <t>YORI (L4) (R)</t>
    </r>
  </si>
  <si>
    <r>
      <rPr>
        <sz val="5.5"/>
        <rFont val="Tahoma"/>
        <family val="2"/>
      </rPr>
      <t xml:space="preserve">YAMAMOTO KEI
</t>
    </r>
    <r>
      <rPr>
        <b/>
        <sz val="5.5"/>
        <rFont val="Tahoma"/>
        <family val="2"/>
      </rPr>
      <t>KEI (L4) (R)</t>
    </r>
  </si>
  <si>
    <r>
      <rPr>
        <sz val="5.5"/>
        <color theme="1"/>
        <rFont val="Tahoma"/>
        <family val="2"/>
      </rPr>
      <t xml:space="preserve">LEE SIIN
</t>
    </r>
    <r>
      <rPr>
        <b/>
        <sz val="5.5"/>
        <color theme="1"/>
        <rFont val="Tahoma"/>
        <family val="2"/>
      </rPr>
      <t>CINDY (L2) (R)</t>
    </r>
  </si>
  <si>
    <r>
      <rPr>
        <sz val="5.5"/>
        <color theme="1"/>
        <rFont val="Tahoma"/>
        <family val="2"/>
      </rPr>
      <t>HATORI</t>
    </r>
    <r>
      <rPr>
        <sz val="5.5"/>
        <color theme="1"/>
        <rFont val="SimSun"/>
      </rPr>
      <t>　</t>
    </r>
    <r>
      <rPr>
        <sz val="5.5"/>
        <color theme="1"/>
        <rFont val="Tahoma"/>
        <family val="2"/>
      </rPr>
      <t xml:space="preserve">YUKA
</t>
    </r>
    <r>
      <rPr>
        <b/>
        <sz val="5.5"/>
        <color theme="1"/>
        <rFont val="Tahoma"/>
        <family val="2"/>
      </rPr>
      <t>YUKA (L4) (R)</t>
    </r>
  </si>
  <si>
    <r>
      <rPr>
        <sz val="5.5"/>
        <color theme="1"/>
        <rFont val="Tahoma"/>
        <family val="2"/>
      </rPr>
      <t xml:space="preserve">MAYU FUJIWARA
</t>
    </r>
    <r>
      <rPr>
        <b/>
        <sz val="5.5"/>
        <color theme="1"/>
        <rFont val="Tahoma"/>
        <family val="2"/>
      </rPr>
      <t>MAYU (L4) (R)</t>
    </r>
  </si>
  <si>
    <r>
      <rPr>
        <sz val="5.5"/>
        <color theme="1"/>
        <rFont val="Tahoma"/>
        <family val="2"/>
      </rPr>
      <t xml:space="preserve">SUZUKI RYUSEI
</t>
    </r>
    <r>
      <rPr>
        <b/>
        <sz val="5.5"/>
        <color theme="1"/>
        <rFont val="Tahoma"/>
        <family val="2"/>
      </rPr>
      <t>RYU (L2) (R)</t>
    </r>
  </si>
  <si>
    <r>
      <rPr>
        <sz val="5.5"/>
        <color theme="1"/>
        <rFont val="Tahoma"/>
        <family val="2"/>
      </rPr>
      <t xml:space="preserve">CHENG YU HSUAN
</t>
    </r>
    <r>
      <rPr>
        <b/>
        <sz val="5.5"/>
        <color theme="1"/>
        <rFont val="Tahoma"/>
        <family val="2"/>
      </rPr>
      <t>CAROL (L3) (R)</t>
    </r>
  </si>
  <si>
    <r>
      <rPr>
        <sz val="5.5"/>
        <color theme="1"/>
        <rFont val="Tahoma"/>
        <family val="2"/>
      </rPr>
      <t xml:space="preserve">LEE GEUNYEON
</t>
    </r>
    <r>
      <rPr>
        <b/>
        <sz val="5.5"/>
        <color theme="1"/>
        <rFont val="Tahoma"/>
        <family val="2"/>
      </rPr>
      <t>STEVEN YEON (L4) (W)</t>
    </r>
  </si>
  <si>
    <t>M58</t>
  </si>
  <si>
    <t>SOL</t>
  </si>
  <si>
    <r>
      <rPr>
        <sz val="5.5"/>
        <rFont val="Tahoma"/>
        <family val="2"/>
      </rPr>
      <t xml:space="preserve">NAKAMURA KARIN
</t>
    </r>
    <r>
      <rPr>
        <b/>
        <sz val="5.5"/>
        <rFont val="Tahoma"/>
        <family val="2"/>
      </rPr>
      <t>KARIN (L4) (S)</t>
    </r>
  </si>
  <si>
    <r>
      <rPr>
        <sz val="5.5"/>
        <rFont val="Tahoma"/>
        <family val="2"/>
      </rPr>
      <t xml:space="preserve">SHUNSUKE HANAWA
</t>
    </r>
    <r>
      <rPr>
        <b/>
        <sz val="5.5"/>
        <rFont val="Tahoma"/>
        <family val="2"/>
      </rPr>
      <t>SHUN (L3) (L)</t>
    </r>
  </si>
  <si>
    <r>
      <rPr>
        <sz val="5.5"/>
        <rFont val="Tahoma"/>
        <family val="2"/>
      </rPr>
      <t xml:space="preserve">KANG MINSEOK
</t>
    </r>
    <r>
      <rPr>
        <b/>
        <sz val="5.5"/>
        <rFont val="Tahoma"/>
        <family val="2"/>
      </rPr>
      <t xml:space="preserve">ALDO (L2) (L) </t>
    </r>
  </si>
  <si>
    <r>
      <rPr>
        <sz val="5.5"/>
        <rFont val="Tahoma"/>
        <family val="2"/>
      </rPr>
      <t xml:space="preserve">YAMAMOTO KEI
</t>
    </r>
    <r>
      <rPr>
        <b/>
        <sz val="5.5"/>
        <rFont val="Tahoma"/>
        <family val="2"/>
      </rPr>
      <t>KEI (L4) (S)</t>
    </r>
  </si>
  <si>
    <r>
      <rPr>
        <sz val="5.5"/>
        <color theme="1"/>
        <rFont val="Tahoma"/>
        <family val="2"/>
      </rPr>
      <t xml:space="preserve">KASHIMA YUME
</t>
    </r>
    <r>
      <rPr>
        <b/>
        <sz val="5.5"/>
        <color theme="1"/>
        <rFont val="Tahoma"/>
        <family val="2"/>
      </rPr>
      <t>YUME (L4) (L)</t>
    </r>
  </si>
  <si>
    <r>
      <rPr>
        <sz val="5.5"/>
        <rFont val="Tahoma"/>
        <family val="2"/>
      </rPr>
      <t xml:space="preserve">FUGA KITO
</t>
    </r>
    <r>
      <rPr>
        <b/>
        <sz val="5.5"/>
        <rFont val="Tahoma"/>
        <family val="2"/>
      </rPr>
      <t>FUGA (L4) (L)</t>
    </r>
  </si>
  <si>
    <r>
      <rPr>
        <sz val="5.5"/>
        <color theme="1"/>
        <rFont val="Tahoma"/>
        <family val="2"/>
      </rPr>
      <t xml:space="preserve">LEE AHREUM 
</t>
    </r>
    <r>
      <rPr>
        <b/>
        <sz val="5.5"/>
        <color theme="1"/>
        <rFont val="Tahoma"/>
        <family val="2"/>
      </rPr>
      <t>ANGELA (L3) (L)</t>
    </r>
  </si>
  <si>
    <r>
      <rPr>
        <sz val="5.5"/>
        <rFont val="Tahoma"/>
        <family val="2"/>
      </rPr>
      <t xml:space="preserve">MINAGAWA HAYATO
</t>
    </r>
    <r>
      <rPr>
        <b/>
        <sz val="5.5"/>
        <rFont val="Tahoma"/>
        <family val="2"/>
      </rPr>
      <t xml:space="preserve">HAYA (L4) (S)
</t>
    </r>
  </si>
  <si>
    <t>JM</t>
  </si>
  <si>
    <t>M59</t>
  </si>
  <si>
    <t>ZENA</t>
  </si>
  <si>
    <r>
      <rPr>
        <sz val="5.5"/>
        <color theme="1"/>
        <rFont val="Tahoma"/>
        <family val="2"/>
      </rPr>
      <t>WU MU SUNG</t>
    </r>
    <r>
      <rPr>
        <b/>
        <sz val="5.5"/>
        <color theme="1"/>
        <rFont val="Tahoma"/>
        <family val="2"/>
      </rPr>
      <t xml:space="preserve">
PIPI (L4) (R)</t>
    </r>
  </si>
  <si>
    <r>
      <rPr>
        <sz val="5.5"/>
        <color theme="1"/>
        <rFont val="Tahoma"/>
        <family val="2"/>
      </rPr>
      <t xml:space="preserve">JEONG-GEUN LEE
</t>
    </r>
    <r>
      <rPr>
        <b/>
        <sz val="5.5"/>
        <color theme="1"/>
        <rFont val="Tahoma"/>
        <family val="2"/>
      </rPr>
      <t>JAMES (L4) (W)</t>
    </r>
  </si>
  <si>
    <r>
      <rPr>
        <sz val="5.5"/>
        <color theme="1"/>
        <rFont val="Tahoma"/>
        <family val="2"/>
      </rPr>
      <t xml:space="preserve">KANG BYUNGHOON
</t>
    </r>
    <r>
      <rPr>
        <b/>
        <sz val="5.5"/>
        <color theme="1"/>
        <rFont val="Tahoma"/>
        <family val="2"/>
      </rPr>
      <t>OSCAR (4) (R)</t>
    </r>
  </si>
  <si>
    <r>
      <rPr>
        <sz val="5.5"/>
        <color theme="1"/>
        <rFont val="Tahoma"/>
        <family val="2"/>
      </rPr>
      <t xml:space="preserve">NISHIO KANAMI
</t>
    </r>
    <r>
      <rPr>
        <b/>
        <sz val="5.5"/>
        <color theme="1"/>
        <rFont val="Tahoma"/>
        <family val="2"/>
      </rPr>
      <t>KANA (L5)</t>
    </r>
  </si>
  <si>
    <r>
      <rPr>
        <sz val="5.5"/>
        <color theme="1"/>
        <rFont val="Tahoma"/>
        <family val="2"/>
      </rPr>
      <t xml:space="preserve">KIMEUNJUNG
</t>
    </r>
    <r>
      <rPr>
        <b/>
        <sz val="5.5"/>
        <color theme="1"/>
        <rFont val="Tahoma"/>
        <family val="2"/>
      </rPr>
      <t>MISA (L3) (R)</t>
    </r>
  </si>
  <si>
    <r>
      <rPr>
        <sz val="5.5"/>
        <rFont val="Tahoma"/>
        <family val="2"/>
      </rPr>
      <t xml:space="preserve">LIU HUNG CHIEH
</t>
    </r>
    <r>
      <rPr>
        <b/>
        <sz val="5.5"/>
        <rFont val="Tahoma"/>
        <family val="2"/>
      </rPr>
      <t>JACKY(L5) (W)</t>
    </r>
  </si>
  <si>
    <r>
      <rPr>
        <sz val="5.5"/>
        <color theme="1"/>
        <rFont val="Tahoma"/>
        <family val="2"/>
      </rPr>
      <t xml:space="preserve">LU YEH HSIN
</t>
    </r>
    <r>
      <rPr>
        <b/>
        <sz val="5.5"/>
        <color theme="1"/>
        <rFont val="Tahoma"/>
        <family val="2"/>
      </rPr>
      <t>LUME (L4) (W)</t>
    </r>
  </si>
  <si>
    <r>
      <rPr>
        <sz val="5.5"/>
        <color theme="1"/>
        <rFont val="Tahoma"/>
        <family val="2"/>
      </rPr>
      <t xml:space="preserve">MARUOKA JUNKO
</t>
    </r>
    <r>
      <rPr>
        <b/>
        <sz val="5.5"/>
        <color theme="1"/>
        <rFont val="Tahoma"/>
        <family val="2"/>
      </rPr>
      <t>JUNKO (L3) (R)</t>
    </r>
  </si>
  <si>
    <r>
      <rPr>
        <sz val="5.5"/>
        <color theme="1"/>
        <rFont val="Tahoma"/>
        <family val="2"/>
      </rPr>
      <t xml:space="preserve">CHEN CHING TING
</t>
    </r>
    <r>
      <rPr>
        <b/>
        <sz val="5.5"/>
        <color theme="1"/>
        <rFont val="Tahoma"/>
        <family val="2"/>
      </rPr>
      <t>FION CHEN (L3) (W)</t>
    </r>
  </si>
  <si>
    <t>M60</t>
  </si>
  <si>
    <t>AI-AI</t>
  </si>
  <si>
    <r>
      <rPr>
        <sz val="5.5"/>
        <color theme="1"/>
        <rFont val="Tahoma"/>
        <family val="2"/>
      </rPr>
      <t xml:space="preserve">NAKAMURA MASAYA
</t>
    </r>
    <r>
      <rPr>
        <b/>
        <sz val="5.5"/>
        <color theme="1"/>
        <rFont val="Tahoma"/>
        <family val="2"/>
      </rPr>
      <t>MASA (L6) (R)</t>
    </r>
  </si>
  <si>
    <r>
      <rPr>
        <sz val="5.5"/>
        <rFont val="Tahoma"/>
        <family val="2"/>
      </rPr>
      <t xml:space="preserve">CHIHO KASAISHI
</t>
    </r>
    <r>
      <rPr>
        <b/>
        <sz val="5.5"/>
        <rFont val="Tahoma"/>
        <family val="2"/>
      </rPr>
      <t>CHIHO (L4) (R)</t>
    </r>
  </si>
  <si>
    <r>
      <rPr>
        <sz val="5.5"/>
        <color theme="1"/>
        <rFont val="Tahoma"/>
        <family val="2"/>
      </rPr>
      <t xml:space="preserve">NAKAMORI HOMARE
</t>
    </r>
    <r>
      <rPr>
        <b/>
        <sz val="5.5"/>
        <color theme="1"/>
        <rFont val="Tahoma"/>
        <family val="2"/>
      </rPr>
      <t>HOMA (L5) (W)</t>
    </r>
  </si>
  <si>
    <r>
      <rPr>
        <sz val="5.5"/>
        <color theme="1"/>
        <rFont val="Tahoma"/>
        <family val="2"/>
      </rPr>
      <t xml:space="preserve">JEON HYUNGJUN
</t>
    </r>
    <r>
      <rPr>
        <b/>
        <sz val="5.5"/>
        <color theme="1"/>
        <rFont val="Tahoma"/>
        <family val="2"/>
      </rPr>
      <t>JAKE (L5) (R)</t>
    </r>
  </si>
  <si>
    <r>
      <rPr>
        <sz val="5.5"/>
        <color theme="1"/>
        <rFont val="Tahoma"/>
        <family val="2"/>
      </rPr>
      <t xml:space="preserve">EUNKYUNG PARK
</t>
    </r>
    <r>
      <rPr>
        <b/>
        <sz val="5.5"/>
        <color theme="1"/>
        <rFont val="Tahoma"/>
        <family val="2"/>
      </rPr>
      <t>LISA (L3) (W)</t>
    </r>
  </si>
  <si>
    <r>
      <rPr>
        <sz val="5.5"/>
        <color theme="1"/>
        <rFont val="Tahoma"/>
        <family val="2"/>
      </rPr>
      <t xml:space="preserve">KASHIMA YUME
</t>
    </r>
    <r>
      <rPr>
        <b/>
        <sz val="5.5"/>
        <color theme="1"/>
        <rFont val="Tahoma"/>
        <family val="2"/>
      </rPr>
      <t>YUME (L4) (W)</t>
    </r>
  </si>
  <si>
    <r>
      <rPr>
        <sz val="5.5"/>
        <color theme="1"/>
        <rFont val="Tahoma"/>
        <family val="2"/>
      </rPr>
      <t xml:space="preserve">KITAMURA TAKUMI
</t>
    </r>
    <r>
      <rPr>
        <b/>
        <sz val="5.5"/>
        <color theme="1"/>
        <rFont val="Tahoma"/>
        <family val="2"/>
      </rPr>
      <t>TAKUMI (L5) (W)</t>
    </r>
  </si>
  <si>
    <t>AI AI</t>
  </si>
  <si>
    <t>M61</t>
  </si>
  <si>
    <t xml:space="preserve">JONG </t>
  </si>
  <si>
    <r>
      <rPr>
        <sz val="5.5"/>
        <rFont val="Times New Roman"/>
        <family val="1"/>
      </rPr>
      <t xml:space="preserve">TAHIR ALBAIDHNI
</t>
    </r>
    <r>
      <rPr>
        <b/>
        <sz val="5.5"/>
        <rFont val="Times New Roman"/>
        <family val="1"/>
      </rPr>
      <t>TAHIR (L3) (R)</t>
    </r>
  </si>
  <si>
    <r>
      <rPr>
        <sz val="5.5"/>
        <rFont val="Tahoma"/>
        <family val="2"/>
      </rPr>
      <t xml:space="preserve">LEE SE HYUN
</t>
    </r>
    <r>
      <rPr>
        <b/>
        <sz val="5.5"/>
        <rFont val="Tahoma"/>
        <family val="2"/>
      </rPr>
      <t xml:space="preserve">LEE (L4) (W) </t>
    </r>
  </si>
  <si>
    <r>
      <rPr>
        <sz val="5.5"/>
        <rFont val="Tahoma"/>
        <family val="2"/>
      </rPr>
      <t xml:space="preserve">NAKAMURA KARIN
</t>
    </r>
    <r>
      <rPr>
        <b/>
        <sz val="5.5"/>
        <rFont val="Tahoma"/>
        <family val="2"/>
      </rPr>
      <t>KARIN (L4) (R)</t>
    </r>
  </si>
  <si>
    <r>
      <rPr>
        <sz val="5.5"/>
        <rFont val="Tahoma"/>
        <family val="2"/>
      </rPr>
      <t xml:space="preserve">KITAURA AYAKA
</t>
    </r>
    <r>
      <rPr>
        <b/>
        <sz val="5.5"/>
        <rFont val="Tahoma"/>
        <family val="2"/>
      </rPr>
      <t>YAN (L4) (R)</t>
    </r>
  </si>
  <si>
    <r>
      <rPr>
        <sz val="5.5"/>
        <rFont val="Tahoma"/>
        <family val="2"/>
      </rPr>
      <t xml:space="preserve">JUNG EUNJU
</t>
    </r>
    <r>
      <rPr>
        <b/>
        <sz val="5.5"/>
        <rFont val="Tahoma"/>
        <family val="2"/>
      </rPr>
      <t>AUDREY (L5) (W)</t>
    </r>
  </si>
  <si>
    <r>
      <rPr>
        <sz val="5.5"/>
        <color theme="1"/>
        <rFont val="Tahoma"/>
        <family val="2"/>
      </rPr>
      <t xml:space="preserve">MIYAGAWA SATOKO
</t>
    </r>
    <r>
      <rPr>
        <b/>
        <sz val="5.5"/>
        <color theme="1"/>
        <rFont val="Tahoma"/>
        <family val="2"/>
      </rPr>
      <t xml:space="preserve"> SATOKO (L3) (W)</t>
    </r>
  </si>
  <si>
    <r>
      <rPr>
        <sz val="5.5"/>
        <rFont val="Tahoma"/>
        <family val="2"/>
      </rPr>
      <t xml:space="preserve">SEO JEONGHEE
</t>
    </r>
    <r>
      <rPr>
        <b/>
        <sz val="5.5"/>
        <rFont val="Tahoma"/>
        <family val="2"/>
      </rPr>
      <t>MIRANDA (L2) (W)</t>
    </r>
  </si>
  <si>
    <r>
      <rPr>
        <sz val="5.5"/>
        <rFont val="Tahoma"/>
        <family val="2"/>
      </rPr>
      <t xml:space="preserve">FUJITA MIHARU
</t>
    </r>
    <r>
      <rPr>
        <b/>
        <sz val="5.5"/>
        <rFont val="Tahoma"/>
        <family val="2"/>
      </rPr>
      <t>FUJI (L4) (W)</t>
    </r>
  </si>
  <si>
    <r>
      <rPr>
        <sz val="5.5"/>
        <rFont val="Tahoma"/>
        <family val="2"/>
      </rPr>
      <t xml:space="preserve">SATO EISAKU
</t>
    </r>
    <r>
      <rPr>
        <b/>
        <sz val="5.5"/>
        <rFont val="Tahoma"/>
        <family val="2"/>
      </rPr>
      <t>EISAKU (L4) (R)</t>
    </r>
  </si>
  <si>
    <t>MARJORIE</t>
  </si>
  <si>
    <t>M62</t>
  </si>
  <si>
    <t>NENIA</t>
  </si>
  <si>
    <r>
      <rPr>
        <sz val="5.5"/>
        <color theme="1"/>
        <rFont val="Tahoma"/>
        <family val="2"/>
      </rPr>
      <t xml:space="preserve">EUNKYUNG PARK
</t>
    </r>
    <r>
      <rPr>
        <b/>
        <sz val="5.5"/>
        <color theme="1"/>
        <rFont val="Tahoma"/>
        <family val="2"/>
      </rPr>
      <t>LISA (L3) (R)</t>
    </r>
  </si>
  <si>
    <r>
      <rPr>
        <sz val="5.5"/>
        <color theme="1"/>
        <rFont val="Tahoma"/>
        <family val="2"/>
      </rPr>
      <t xml:space="preserve">CHENG YU HSUAN
</t>
    </r>
    <r>
      <rPr>
        <b/>
        <sz val="5.5"/>
        <color theme="1"/>
        <rFont val="Tahoma"/>
        <family val="2"/>
      </rPr>
      <t>CAROL (L3) (L)</t>
    </r>
  </si>
  <si>
    <r>
      <rPr>
        <sz val="5.5"/>
        <color theme="1"/>
        <rFont val="Tahoma"/>
        <family val="2"/>
      </rPr>
      <t xml:space="preserve">JANG SUNG WON
</t>
    </r>
    <r>
      <rPr>
        <b/>
        <sz val="5.5"/>
        <color theme="1"/>
        <rFont val="Tahoma"/>
        <family val="2"/>
      </rPr>
      <t>ANDREAS (L5)</t>
    </r>
  </si>
  <si>
    <r>
      <rPr>
        <sz val="5.5"/>
        <color theme="1"/>
        <rFont val="Tahoma"/>
        <family val="2"/>
      </rPr>
      <t xml:space="preserve">RINA ANDO
</t>
    </r>
    <r>
      <rPr>
        <b/>
        <sz val="5.5"/>
        <color theme="1"/>
        <rFont val="Tahoma"/>
        <family val="2"/>
      </rPr>
      <t>SORA (L5) (R)</t>
    </r>
  </si>
  <si>
    <r>
      <rPr>
        <sz val="5.5"/>
        <color theme="1"/>
        <rFont val="Tahoma"/>
        <family val="2"/>
      </rPr>
      <t xml:space="preserve">KIM MINJUN
</t>
    </r>
    <r>
      <rPr>
        <b/>
        <sz val="5.5"/>
        <color theme="1"/>
        <rFont val="Tahoma"/>
        <family val="2"/>
      </rPr>
      <t>TONY (L5) (S)</t>
    </r>
  </si>
  <si>
    <r>
      <rPr>
        <sz val="5.5"/>
        <color theme="1"/>
        <rFont val="Tahoma"/>
        <family val="2"/>
      </rPr>
      <t xml:space="preserve">HASHIMOTO HIROMI
</t>
    </r>
    <r>
      <rPr>
        <b/>
        <sz val="5.5"/>
        <color theme="1"/>
        <rFont val="Tahoma"/>
        <family val="2"/>
      </rPr>
      <t>MIX (L3) (W)</t>
    </r>
  </si>
  <si>
    <r>
      <rPr>
        <sz val="5.5"/>
        <color theme="1"/>
        <rFont val="Tahoma"/>
        <family val="2"/>
      </rPr>
      <t xml:space="preserve">LYDARYE
</t>
    </r>
    <r>
      <rPr>
        <b/>
        <sz val="5.5"/>
        <color theme="1"/>
        <rFont val="Tahoma"/>
        <family val="2"/>
      </rPr>
      <t>SELINA (L2) (R)</t>
    </r>
  </si>
  <si>
    <r>
      <rPr>
        <sz val="5.5"/>
        <color theme="1"/>
        <rFont val="Tahoma"/>
        <family val="2"/>
      </rPr>
      <t xml:space="preserve">SUZUKI RYUSEI
</t>
    </r>
    <r>
      <rPr>
        <b/>
        <sz val="5.5"/>
        <color theme="1"/>
        <rFont val="Tahoma"/>
        <family val="2"/>
      </rPr>
      <t>RYU (L2) (W)</t>
    </r>
  </si>
  <si>
    <t>M63</t>
  </si>
  <si>
    <t>MARY</t>
  </si>
  <si>
    <r>
      <rPr>
        <sz val="5.5"/>
        <rFont val="Tahoma"/>
        <family val="2"/>
      </rPr>
      <t xml:space="preserve">KAWANAKA MOMO
</t>
    </r>
    <r>
      <rPr>
        <b/>
        <sz val="5.5"/>
        <rFont val="Tahoma"/>
        <family val="2"/>
      </rPr>
      <t>MOMO (L4) (R)</t>
    </r>
  </si>
  <si>
    <r>
      <rPr>
        <sz val="5.5"/>
        <rFont val="Tahoma"/>
        <family val="2"/>
      </rPr>
      <t xml:space="preserve">CHEN JIAN HONG
</t>
    </r>
    <r>
      <rPr>
        <b/>
        <sz val="5.5"/>
        <rFont val="Tahoma"/>
        <family val="2"/>
      </rPr>
      <t>JIM(L3) (R)</t>
    </r>
  </si>
  <si>
    <r>
      <rPr>
        <sz val="5.5"/>
        <rFont val="Tahoma"/>
        <family val="2"/>
      </rPr>
      <t xml:space="preserve">SHUNSUKE HANAWA
</t>
    </r>
    <r>
      <rPr>
        <b/>
        <sz val="5.5"/>
        <rFont val="Tahoma"/>
        <family val="2"/>
      </rPr>
      <t>SHUN (L3) (R)</t>
    </r>
  </si>
  <si>
    <r>
      <rPr>
        <sz val="5.5"/>
        <rFont val="Tahoma"/>
        <family val="2"/>
      </rPr>
      <t xml:space="preserve">HSU WEI CHENG
</t>
    </r>
    <r>
      <rPr>
        <b/>
        <sz val="5.5"/>
        <rFont val="Tahoma"/>
        <family val="2"/>
      </rPr>
      <t>CHENG (L1) (R)</t>
    </r>
  </si>
  <si>
    <r>
      <rPr>
        <sz val="5.5"/>
        <color theme="1"/>
        <rFont val="Tahoma"/>
        <family val="2"/>
      </rPr>
      <t xml:space="preserve">ABDULHAMID ALSULAIMANI
</t>
    </r>
    <r>
      <rPr>
        <b/>
        <sz val="5.5"/>
        <color theme="1"/>
        <rFont val="Tahoma"/>
        <family val="2"/>
      </rPr>
      <t>MEEDO (L3) (R)</t>
    </r>
  </si>
  <si>
    <r>
      <rPr>
        <sz val="5.5"/>
        <color theme="1"/>
        <rFont val="Tahoma"/>
        <family val="2"/>
      </rPr>
      <t xml:space="preserve">LEE GEUNYEON
</t>
    </r>
    <r>
      <rPr>
        <b/>
        <sz val="5.5"/>
        <color theme="1"/>
        <rFont val="Tahoma"/>
        <family val="2"/>
      </rPr>
      <t>STEVEN YEON (L4) (R)</t>
    </r>
  </si>
  <si>
    <r>
      <rPr>
        <sz val="5.5"/>
        <rFont val="Tahoma"/>
        <family val="2"/>
      </rPr>
      <t xml:space="preserve">HOU CHI HONG
</t>
    </r>
    <r>
      <rPr>
        <b/>
        <sz val="5.5"/>
        <rFont val="Tahoma"/>
        <family val="2"/>
      </rPr>
      <t>MATT HOU (L5) (W)</t>
    </r>
  </si>
  <si>
    <t>M64</t>
  </si>
  <si>
    <t>BEYEEN</t>
  </si>
  <si>
    <r>
      <rPr>
        <sz val="5.5"/>
        <rFont val="Tahoma"/>
        <family val="2"/>
      </rPr>
      <t xml:space="preserve">JIAN AN JIA
</t>
    </r>
    <r>
      <rPr>
        <b/>
        <sz val="5.5"/>
        <rFont val="Tahoma"/>
        <family val="2"/>
      </rPr>
      <t>ANJIE (L3) (W)</t>
    </r>
  </si>
  <si>
    <r>
      <rPr>
        <sz val="5.5"/>
        <color theme="1"/>
        <rFont val="Tahoma"/>
        <family val="2"/>
      </rPr>
      <t xml:space="preserve">TRAN THI THUY HONG
</t>
    </r>
    <r>
      <rPr>
        <b/>
        <sz val="5.5"/>
        <color theme="1"/>
        <rFont val="Tahoma"/>
        <family val="2"/>
      </rPr>
      <t>TRAN (L2) (R)</t>
    </r>
  </si>
  <si>
    <r>
      <rPr>
        <sz val="5.5"/>
        <color theme="1"/>
        <rFont val="Tahoma"/>
        <family val="2"/>
      </rPr>
      <t xml:space="preserve">LEEKWANGPIL
</t>
    </r>
    <r>
      <rPr>
        <b/>
        <sz val="5.5"/>
        <color theme="1"/>
        <rFont val="Tahoma"/>
        <family val="2"/>
      </rPr>
      <t>PHILIP (L5) (R)</t>
    </r>
  </si>
  <si>
    <t>M65</t>
  </si>
  <si>
    <t>LUCY</t>
  </si>
  <si>
    <r>
      <rPr>
        <sz val="5.5"/>
        <color theme="1"/>
        <rFont val="Tahoma"/>
        <family val="2"/>
      </rPr>
      <t xml:space="preserve">LEE SIJUNE
</t>
    </r>
    <r>
      <rPr>
        <b/>
        <sz val="5.5"/>
        <color theme="1"/>
        <rFont val="Tahoma"/>
        <family val="2"/>
      </rPr>
      <t>SIJUNE (L5) (S)</t>
    </r>
  </si>
  <si>
    <r>
      <rPr>
        <sz val="5.5"/>
        <color theme="1"/>
        <rFont val="Tahoma"/>
        <family val="2"/>
      </rPr>
      <t xml:space="preserve">KANG BYUNGHOON
</t>
    </r>
    <r>
      <rPr>
        <b/>
        <sz val="5.5"/>
        <color theme="1"/>
        <rFont val="Tahoma"/>
        <family val="2"/>
      </rPr>
      <t>OSCAR (4) (W)</t>
    </r>
  </si>
  <si>
    <r>
      <rPr>
        <sz val="5.5"/>
        <rFont val="Tahoma"/>
        <family val="2"/>
      </rPr>
      <t xml:space="preserve">SATO EISAKU
</t>
    </r>
    <r>
      <rPr>
        <b/>
        <sz val="5.5"/>
        <rFont val="Tahoma"/>
        <family val="2"/>
      </rPr>
      <t>EISAKU (L4) (L)</t>
    </r>
  </si>
  <si>
    <t>M66</t>
  </si>
  <si>
    <t>VENUS</t>
  </si>
  <si>
    <r>
      <rPr>
        <sz val="5.5"/>
        <color theme="1"/>
        <rFont val="Tahoma"/>
        <family val="2"/>
      </rPr>
      <t xml:space="preserve">YANG JUNGHEE
</t>
    </r>
    <r>
      <rPr>
        <b/>
        <sz val="5.5"/>
        <color theme="1"/>
        <rFont val="Tahoma"/>
        <family val="2"/>
      </rPr>
      <t>VIVIAN (L3)</t>
    </r>
  </si>
  <si>
    <r>
      <rPr>
        <sz val="5.5"/>
        <color theme="1"/>
        <rFont val="Tahoma"/>
        <family val="2"/>
      </rPr>
      <t>EMURA YUI</t>
    </r>
    <r>
      <rPr>
        <b/>
        <sz val="5.5"/>
        <color theme="1"/>
        <rFont val="Tahoma"/>
        <family val="2"/>
      </rPr>
      <t xml:space="preserve">
EMURA (L5) (W)</t>
    </r>
  </si>
  <si>
    <r>
      <rPr>
        <sz val="5.5"/>
        <color theme="1"/>
        <rFont val="Tahoma"/>
        <family val="2"/>
      </rPr>
      <t xml:space="preserve">YAMASHITA ERIKA
</t>
    </r>
    <r>
      <rPr>
        <b/>
        <sz val="5.5"/>
        <color theme="1"/>
        <rFont val="Tahoma"/>
        <family val="2"/>
      </rPr>
      <t>ELLY (L5) (W)</t>
    </r>
  </si>
  <si>
    <r>
      <rPr>
        <sz val="5.5"/>
        <color theme="1"/>
        <rFont val="Tahoma"/>
        <family val="2"/>
      </rPr>
      <t xml:space="preserve">RINA ANDO
</t>
    </r>
    <r>
      <rPr>
        <b/>
        <sz val="5.5"/>
        <color theme="1"/>
        <rFont val="Tahoma"/>
        <family val="2"/>
      </rPr>
      <t>SORA (L5) (W)</t>
    </r>
  </si>
  <si>
    <r>
      <rPr>
        <sz val="5.5"/>
        <rFont val="Tahoma"/>
        <family val="2"/>
      </rPr>
      <t xml:space="preserve">HSU WEI CHENG
</t>
    </r>
    <r>
      <rPr>
        <b/>
        <sz val="5.5"/>
        <rFont val="Tahoma"/>
        <family val="2"/>
      </rPr>
      <t>CHENG (L1) (W)</t>
    </r>
  </si>
  <si>
    <r>
      <rPr>
        <sz val="5.5"/>
        <rFont val="Tahoma"/>
        <family val="2"/>
      </rPr>
      <t xml:space="preserve">HOU YI RU
</t>
    </r>
    <r>
      <rPr>
        <b/>
        <sz val="5.5"/>
        <rFont val="Tahoma"/>
        <family val="2"/>
      </rPr>
      <t>JOANNE(L5) (R)</t>
    </r>
  </si>
  <si>
    <r>
      <rPr>
        <sz val="5.5"/>
        <rFont val="Tahoma"/>
        <family val="2"/>
      </rPr>
      <t xml:space="preserve">HOU CHI HONG
</t>
    </r>
    <r>
      <rPr>
        <b/>
        <sz val="5.5"/>
        <rFont val="Tahoma"/>
        <family val="2"/>
      </rPr>
      <t>MATT HOU (L5) (R)</t>
    </r>
  </si>
  <si>
    <t>YURI</t>
  </si>
  <si>
    <t>M67</t>
  </si>
  <si>
    <t>MELISSA</t>
  </si>
  <si>
    <t>ESL DAILY TEST</t>
  </si>
  <si>
    <r>
      <rPr>
        <sz val="5.5"/>
        <rFont val="Tahoma"/>
        <family val="2"/>
      </rPr>
      <t xml:space="preserve">SUGAWARA YU
</t>
    </r>
    <r>
      <rPr>
        <b/>
        <sz val="5.5"/>
        <rFont val="Tahoma"/>
        <family val="2"/>
      </rPr>
      <t>YU (l3)  (R)</t>
    </r>
  </si>
  <si>
    <t>OFFICE DUTY</t>
  </si>
  <si>
    <t xml:space="preserve">GROUP CLASS           </t>
  </si>
  <si>
    <t>SECTION LEADER DUTY</t>
  </si>
  <si>
    <r>
      <rPr>
        <sz val="5.5"/>
        <color theme="1"/>
        <rFont val="Tahoma"/>
        <family val="2"/>
      </rPr>
      <t>PARK CHAEEUN</t>
    </r>
    <r>
      <rPr>
        <b/>
        <sz val="5.5"/>
        <color theme="1"/>
        <rFont val="Tahoma"/>
        <family val="2"/>
      </rPr>
      <t xml:space="preserve">
VELY (L3) (S)</t>
    </r>
  </si>
  <si>
    <t xml:space="preserve">ACTIVITY CLASS </t>
  </si>
  <si>
    <t>JOEY</t>
  </si>
  <si>
    <t>M68</t>
  </si>
  <si>
    <t>LYNDIE</t>
  </si>
  <si>
    <r>
      <rPr>
        <sz val="5.5"/>
        <color theme="1"/>
        <rFont val="Tahoma"/>
        <family val="2"/>
      </rPr>
      <t xml:space="preserve">MIIKE YUTA
</t>
    </r>
    <r>
      <rPr>
        <b/>
        <sz val="5.5"/>
        <color theme="1"/>
        <rFont val="Tahoma"/>
        <family val="2"/>
      </rPr>
      <t>MIKE (L5)(R)</t>
    </r>
  </si>
  <si>
    <r>
      <rPr>
        <sz val="5.5"/>
        <rFont val="Tahoma"/>
        <family val="2"/>
      </rPr>
      <t xml:space="preserve">HOU YI RU
</t>
    </r>
    <r>
      <rPr>
        <b/>
        <sz val="5.5"/>
        <rFont val="Tahoma"/>
        <family val="2"/>
      </rPr>
      <t>JOANNE(L5) (W)</t>
    </r>
  </si>
  <si>
    <r>
      <rPr>
        <sz val="5.5"/>
        <rFont val="Tahoma"/>
        <family val="2"/>
      </rPr>
      <t xml:space="preserve">RYOMA UECHI
</t>
    </r>
    <r>
      <rPr>
        <b/>
        <sz val="5.5"/>
        <rFont val="Tahoma"/>
        <family val="2"/>
      </rPr>
      <t>RYO (L4) (W)</t>
    </r>
  </si>
  <si>
    <r>
      <rPr>
        <sz val="5.5"/>
        <rFont val="Tahoma"/>
        <family val="2"/>
      </rPr>
      <t xml:space="preserve">CHEN MEI PING
</t>
    </r>
    <r>
      <rPr>
        <b/>
        <sz val="5.5"/>
        <rFont val="Tahoma"/>
        <family val="2"/>
      </rPr>
      <t>IVY CHEN (L5)  (R)</t>
    </r>
  </si>
  <si>
    <r>
      <rPr>
        <sz val="5.5"/>
        <color theme="1"/>
        <rFont val="Tahoma"/>
        <family val="2"/>
      </rPr>
      <t xml:space="preserve">SEONG BAI LEE
</t>
    </r>
    <r>
      <rPr>
        <b/>
        <sz val="5.5"/>
        <color theme="1"/>
        <rFont val="Tahoma"/>
        <family val="2"/>
      </rPr>
      <t>LION  (L1) (R)</t>
    </r>
  </si>
  <si>
    <r>
      <rPr>
        <sz val="5.5"/>
        <color theme="1"/>
        <rFont val="Tahoma"/>
        <family val="2"/>
      </rPr>
      <t xml:space="preserve">KAO KAI TING
</t>
    </r>
    <r>
      <rPr>
        <b/>
        <sz val="5.5"/>
        <color theme="1"/>
        <rFont val="Tahoma"/>
        <family val="2"/>
      </rPr>
      <t>JOSH (L2) (W)</t>
    </r>
  </si>
  <si>
    <r>
      <rPr>
        <sz val="5.5"/>
        <rFont val="Tahoma"/>
        <family val="2"/>
      </rPr>
      <t xml:space="preserve">LEE JUHUN
</t>
    </r>
    <r>
      <rPr>
        <b/>
        <sz val="5.5"/>
        <rFont val="Tahoma"/>
        <family val="2"/>
      </rPr>
      <t>ABRAHAM (L5)(R)</t>
    </r>
  </si>
  <si>
    <t>M69</t>
  </si>
  <si>
    <t>SUSIE</t>
  </si>
  <si>
    <r>
      <rPr>
        <sz val="5.5"/>
        <rFont val="Tahoma"/>
        <family val="2"/>
      </rPr>
      <t xml:space="preserve">NGUYEN DUC HOANG
</t>
    </r>
    <r>
      <rPr>
        <b/>
        <sz val="5.5"/>
        <rFont val="Tahoma"/>
        <family val="2"/>
      </rPr>
      <t>VICTOR (L4) (W)</t>
    </r>
  </si>
  <si>
    <r>
      <rPr>
        <sz val="5.5"/>
        <rFont val="Tahoma"/>
        <family val="2"/>
      </rPr>
      <t xml:space="preserve">IIDA SAYAKA
</t>
    </r>
    <r>
      <rPr>
        <b/>
        <sz val="5.5"/>
        <rFont val="Tahoma"/>
        <family val="2"/>
      </rPr>
      <t>SAYAKA (L5) (R)</t>
    </r>
  </si>
  <si>
    <r>
      <rPr>
        <sz val="5.5"/>
        <color theme="1"/>
        <rFont val="Tahoma"/>
        <family val="2"/>
      </rPr>
      <t xml:space="preserve">SEKI TAKAHIRO
</t>
    </r>
    <r>
      <rPr>
        <b/>
        <sz val="5.5"/>
        <color theme="1"/>
        <rFont val="Tahoma"/>
        <family val="2"/>
      </rPr>
      <t>KING (L5) (R)</t>
    </r>
  </si>
  <si>
    <r>
      <rPr>
        <sz val="5.5"/>
        <color theme="1"/>
        <rFont val="Tahoma"/>
        <family val="2"/>
      </rPr>
      <t xml:space="preserve">KIM DONGHYUN
</t>
    </r>
    <r>
      <rPr>
        <b/>
        <sz val="5.5"/>
        <color theme="1"/>
        <rFont val="Tahoma"/>
        <family val="2"/>
      </rPr>
      <t>KYLE (L6) (R)</t>
    </r>
  </si>
  <si>
    <r>
      <rPr>
        <sz val="5.5"/>
        <rFont val="Tahoma"/>
        <family val="2"/>
      </rPr>
      <t xml:space="preserve">LIU HUNG CHIEH
</t>
    </r>
    <r>
      <rPr>
        <b/>
        <sz val="5.5"/>
        <rFont val="Tahoma"/>
        <family val="2"/>
      </rPr>
      <t>JACKY(L5) (R)</t>
    </r>
  </si>
  <si>
    <r>
      <rPr>
        <sz val="5.5"/>
        <color theme="1"/>
        <rFont val="Tahoma"/>
        <family val="2"/>
      </rPr>
      <t xml:space="preserve">TRAN THI THUY HONG
</t>
    </r>
    <r>
      <rPr>
        <b/>
        <sz val="5.5"/>
        <color theme="1"/>
        <rFont val="Tahoma"/>
        <family val="2"/>
      </rPr>
      <t>TRAN (L2) (W)</t>
    </r>
  </si>
  <si>
    <t>LM</t>
  </si>
  <si>
    <t>M70</t>
  </si>
  <si>
    <t>SAMANTHA</t>
  </si>
  <si>
    <r>
      <rPr>
        <sz val="5.5"/>
        <rFont val="Tahoma"/>
        <family val="2"/>
      </rPr>
      <t xml:space="preserve">SATO EISAKU
</t>
    </r>
    <r>
      <rPr>
        <b/>
        <sz val="5.5"/>
        <rFont val="Tahoma"/>
        <family val="2"/>
      </rPr>
      <t>EISAKU (L4) (W)</t>
    </r>
  </si>
  <si>
    <r>
      <rPr>
        <sz val="5.5"/>
        <color theme="1"/>
        <rFont val="Tahoma"/>
        <family val="2"/>
      </rPr>
      <t xml:space="preserve">JUNHYUNG JIN
</t>
    </r>
    <r>
      <rPr>
        <b/>
        <sz val="5.5"/>
        <color theme="1"/>
        <rFont val="Tahoma"/>
        <family val="2"/>
      </rPr>
      <t>JERRY (L4) (R)</t>
    </r>
  </si>
  <si>
    <r>
      <rPr>
        <sz val="5.5"/>
        <rFont val="Tahoma"/>
        <family val="2"/>
      </rPr>
      <t xml:space="preserve">CHO JUNHEE
</t>
    </r>
    <r>
      <rPr>
        <b/>
        <sz val="5.5"/>
        <rFont val="Tahoma"/>
        <family val="2"/>
      </rPr>
      <t>ERIC (L6) (W)</t>
    </r>
  </si>
  <si>
    <r>
      <rPr>
        <sz val="5.5"/>
        <rFont val="Tahoma"/>
        <family val="2"/>
      </rPr>
      <t xml:space="preserve">KAWANAKA MOMO
</t>
    </r>
    <r>
      <rPr>
        <b/>
        <sz val="5.5"/>
        <rFont val="Tahoma"/>
        <family val="2"/>
      </rPr>
      <t>MOMO (L4) (W)</t>
    </r>
  </si>
  <si>
    <r>
      <rPr>
        <sz val="5.5"/>
        <color theme="1"/>
        <rFont val="Tahoma"/>
        <family val="2"/>
      </rPr>
      <t xml:space="preserve">HASHIMOTO HIROMI
</t>
    </r>
    <r>
      <rPr>
        <b/>
        <sz val="5.5"/>
        <color theme="1"/>
        <rFont val="Tahoma"/>
        <family val="2"/>
      </rPr>
      <t>MIX (L3) (R)</t>
    </r>
  </si>
  <si>
    <r>
      <rPr>
        <sz val="5.5"/>
        <color theme="1"/>
        <rFont val="Tahoma"/>
        <family val="2"/>
      </rPr>
      <t xml:space="preserve">YANG JUNGHEE
</t>
    </r>
    <r>
      <rPr>
        <b/>
        <sz val="5.5"/>
        <color theme="1"/>
        <rFont val="Tahoma"/>
        <family val="2"/>
      </rPr>
      <t>VIVIAN (L3) (W)</t>
    </r>
  </si>
  <si>
    <r>
      <rPr>
        <sz val="5.5"/>
        <color theme="1"/>
        <rFont val="Tahoma"/>
        <family val="2"/>
      </rPr>
      <t xml:space="preserve">HANDA TADAYOSHI
</t>
    </r>
    <r>
      <rPr>
        <b/>
        <sz val="5.5"/>
        <color theme="1"/>
        <rFont val="Tahoma"/>
        <family val="2"/>
      </rPr>
      <t>YORI (L4) (W)</t>
    </r>
  </si>
  <si>
    <r>
      <rPr>
        <sz val="5.5"/>
        <rFont val="Tahoma"/>
        <family val="2"/>
      </rPr>
      <t xml:space="preserve">SUGAWARA YU
</t>
    </r>
    <r>
      <rPr>
        <b/>
        <sz val="5.5"/>
        <rFont val="Tahoma"/>
        <family val="2"/>
      </rPr>
      <t>YU (l3)  (W)</t>
    </r>
  </si>
  <si>
    <t>CLINT</t>
  </si>
  <si>
    <t>M71</t>
  </si>
  <si>
    <t>ANYA</t>
  </si>
  <si>
    <r>
      <rPr>
        <sz val="5.5"/>
        <rFont val="Tahoma"/>
        <family val="2"/>
      </rPr>
      <t xml:space="preserve">BYEONGCHEOL PARK
</t>
    </r>
    <r>
      <rPr>
        <b/>
        <sz val="5.5"/>
        <rFont val="Tahoma"/>
        <family val="2"/>
      </rPr>
      <t>WOODY (L3) (R)</t>
    </r>
  </si>
  <si>
    <r>
      <rPr>
        <sz val="5.5"/>
        <color theme="1"/>
        <rFont val="Tahoma"/>
        <family val="2"/>
      </rPr>
      <t xml:space="preserve">LU YEH HSIN
</t>
    </r>
    <r>
      <rPr>
        <b/>
        <sz val="5.5"/>
        <color theme="1"/>
        <rFont val="Tahoma"/>
        <family val="2"/>
      </rPr>
      <t>LUME (L4) (R)</t>
    </r>
  </si>
  <si>
    <r>
      <rPr>
        <sz val="5.5"/>
        <rFont val="Tahoma"/>
        <family val="2"/>
      </rPr>
      <t>HYUN JOON AHN</t>
    </r>
    <r>
      <rPr>
        <b/>
        <sz val="5.5"/>
        <rFont val="Tahoma"/>
        <family val="2"/>
      </rPr>
      <t xml:space="preserve">
JOON (l6) (W)</t>
    </r>
  </si>
  <si>
    <r>
      <rPr>
        <sz val="5.5"/>
        <color theme="1"/>
        <rFont val="Tahoma"/>
        <family val="2"/>
      </rPr>
      <t xml:space="preserve">LEE AHREUM 
</t>
    </r>
    <r>
      <rPr>
        <b/>
        <sz val="5.5"/>
        <color theme="1"/>
        <rFont val="Tahoma"/>
        <family val="2"/>
      </rPr>
      <t>ANGELA (L3) (W)</t>
    </r>
  </si>
  <si>
    <r>
      <rPr>
        <sz val="5.5"/>
        <color theme="1"/>
        <rFont val="Tahoma"/>
        <family val="2"/>
      </rPr>
      <t xml:space="preserve">HAN MINJI
</t>
    </r>
    <r>
      <rPr>
        <b/>
        <sz val="5.5"/>
        <color theme="1"/>
        <rFont val="Tahoma"/>
        <family val="2"/>
      </rPr>
      <t>BONNIE (L6) (W)</t>
    </r>
  </si>
  <si>
    <r>
      <rPr>
        <sz val="5.5"/>
        <color theme="1"/>
        <rFont val="Tahoma"/>
        <family val="2"/>
      </rPr>
      <t xml:space="preserve">PARK SOYE
</t>
    </r>
    <r>
      <rPr>
        <b/>
        <sz val="5.5"/>
        <color theme="1"/>
        <rFont val="Tahoma"/>
        <family val="2"/>
      </rPr>
      <t>SOYE (L3) (W)</t>
    </r>
  </si>
  <si>
    <r>
      <rPr>
        <sz val="5.5"/>
        <color theme="1"/>
        <rFont val="Tahoma"/>
        <family val="2"/>
      </rPr>
      <t>EMURA YUI</t>
    </r>
    <r>
      <rPr>
        <b/>
        <sz val="5.5"/>
        <color theme="1"/>
        <rFont val="Tahoma"/>
        <family val="2"/>
      </rPr>
      <t xml:space="preserve">
EMURA (L5) (R)</t>
    </r>
  </si>
  <si>
    <r>
      <rPr>
        <sz val="5.5"/>
        <color theme="1"/>
        <rFont val="Tahoma"/>
        <family val="2"/>
      </rPr>
      <t xml:space="preserve">OH SOOEUN
</t>
    </r>
    <r>
      <rPr>
        <b/>
        <sz val="5.5"/>
        <color theme="1"/>
        <rFont val="Tahoma"/>
        <family val="2"/>
      </rPr>
      <t>SYUNI (L4) (W)</t>
    </r>
  </si>
  <si>
    <r>
      <rPr>
        <sz val="5.5"/>
        <color theme="1"/>
        <rFont val="Tahoma"/>
        <family val="2"/>
      </rPr>
      <t xml:space="preserve">UEZU RYO
</t>
    </r>
    <r>
      <rPr>
        <b/>
        <sz val="5.5"/>
        <color theme="1"/>
        <rFont val="Tahoma"/>
        <family val="2"/>
      </rPr>
      <t>LIO (L4) (R)</t>
    </r>
  </si>
  <si>
    <t>M72</t>
  </si>
  <si>
    <r>
      <rPr>
        <sz val="5.5"/>
        <color theme="1"/>
        <rFont val="Tahoma"/>
        <family val="2"/>
      </rPr>
      <t xml:space="preserve">JANG SUNG WON
</t>
    </r>
    <r>
      <rPr>
        <b/>
        <sz val="5.5"/>
        <color theme="1"/>
        <rFont val="Tahoma"/>
        <family val="2"/>
      </rPr>
      <t>ANDREAS (L5) (W)</t>
    </r>
  </si>
  <si>
    <r>
      <rPr>
        <sz val="5.5"/>
        <color theme="1"/>
        <rFont val="Tahoma"/>
        <family val="2"/>
      </rPr>
      <t xml:space="preserve">MANAKO KAE
</t>
    </r>
    <r>
      <rPr>
        <b/>
        <sz val="5.5"/>
        <color theme="1"/>
        <rFont val="Tahoma"/>
        <family val="2"/>
      </rPr>
      <t>KAE (L5) (R)</t>
    </r>
  </si>
  <si>
    <r>
      <rPr>
        <sz val="5.5"/>
        <color theme="1"/>
        <rFont val="Tahoma"/>
        <family val="2"/>
      </rPr>
      <t>HATORI</t>
    </r>
    <r>
      <rPr>
        <sz val="5.5"/>
        <color theme="1"/>
        <rFont val="SimSun"/>
      </rPr>
      <t>　</t>
    </r>
    <r>
      <rPr>
        <sz val="5.5"/>
        <color theme="1"/>
        <rFont val="Tahoma"/>
        <family val="2"/>
      </rPr>
      <t xml:space="preserve">YUKA
</t>
    </r>
    <r>
      <rPr>
        <b/>
        <sz val="5.5"/>
        <color theme="1"/>
        <rFont val="Tahoma"/>
        <family val="2"/>
      </rPr>
      <t>YUKA (L4) (W)</t>
    </r>
  </si>
  <si>
    <r>
      <rPr>
        <sz val="5.5"/>
        <color theme="1"/>
        <rFont val="Tahoma"/>
        <family val="2"/>
      </rPr>
      <t xml:space="preserve">SEKI TAKAHIRO
</t>
    </r>
    <r>
      <rPr>
        <b/>
        <sz val="5.5"/>
        <color theme="1"/>
        <rFont val="Tahoma"/>
        <family val="2"/>
      </rPr>
      <t>KING (L5) (W)</t>
    </r>
  </si>
  <si>
    <r>
      <rPr>
        <sz val="5.5"/>
        <color theme="1"/>
        <rFont val="Tahoma"/>
        <family val="2"/>
      </rPr>
      <t xml:space="preserve">NAKAMORI HOMARE
</t>
    </r>
    <r>
      <rPr>
        <b/>
        <sz val="5.5"/>
        <color theme="1"/>
        <rFont val="Tahoma"/>
        <family val="2"/>
      </rPr>
      <t>HOMA (L5)  (R)</t>
    </r>
  </si>
  <si>
    <r>
      <rPr>
        <sz val="5.5"/>
        <color theme="1"/>
        <rFont val="Tahoma"/>
        <family val="2"/>
      </rPr>
      <t xml:space="preserve">UEGAKI EIKAKU
</t>
    </r>
    <r>
      <rPr>
        <b/>
        <sz val="5.5"/>
        <color theme="1"/>
        <rFont val="Tahoma"/>
        <family val="2"/>
      </rPr>
      <t>KAKU (L4) (R)</t>
    </r>
  </si>
  <si>
    <r>
      <rPr>
        <sz val="5.5"/>
        <color theme="1"/>
        <rFont val="Tahoma"/>
        <family val="2"/>
      </rPr>
      <t xml:space="preserve">OH SOOEUN
</t>
    </r>
    <r>
      <rPr>
        <b/>
        <sz val="5.5"/>
        <color theme="1"/>
        <rFont val="Tahoma"/>
        <family val="2"/>
      </rPr>
      <t>SYUNI (L4) (R)</t>
    </r>
  </si>
  <si>
    <r>
      <rPr>
        <sz val="5.5"/>
        <color theme="1"/>
        <rFont val="Tahoma"/>
        <family val="2"/>
      </rPr>
      <t xml:space="preserve">MINJI KANG
</t>
    </r>
    <r>
      <rPr>
        <b/>
        <sz val="5.5"/>
        <color theme="1"/>
        <rFont val="Tahoma"/>
        <family val="2"/>
      </rPr>
      <t>JENNA (L6) (W)</t>
    </r>
  </si>
  <si>
    <t>BEVERLY</t>
  </si>
  <si>
    <t>M73</t>
  </si>
  <si>
    <t>JORIE</t>
  </si>
  <si>
    <r>
      <rPr>
        <sz val="5.5"/>
        <color theme="1"/>
        <rFont val="Tahoma"/>
        <family val="2"/>
      </rPr>
      <t xml:space="preserve">SAKI OKUMURA
</t>
    </r>
    <r>
      <rPr>
        <b/>
        <sz val="5.5"/>
        <color theme="1"/>
        <rFont val="Tahoma"/>
        <family val="2"/>
      </rPr>
      <t>SASSA (L3) (R)</t>
    </r>
  </si>
  <si>
    <r>
      <rPr>
        <sz val="5.5"/>
        <rFont val="Tahoma"/>
        <family val="2"/>
      </rPr>
      <t xml:space="preserve">TAKUHIRO ISHIHARA
</t>
    </r>
    <r>
      <rPr>
        <b/>
        <sz val="5.5"/>
        <rFont val="Tahoma"/>
        <family val="2"/>
      </rPr>
      <t>TAKU (L7) (R)</t>
    </r>
  </si>
  <si>
    <r>
      <rPr>
        <sz val="5.5"/>
        <color theme="1"/>
        <rFont val="Tahoma"/>
        <family val="2"/>
      </rPr>
      <t xml:space="preserve">NAKAMURA MASAYA
</t>
    </r>
    <r>
      <rPr>
        <b/>
        <sz val="5.5"/>
        <color theme="1"/>
        <rFont val="Tahoma"/>
        <family val="2"/>
      </rPr>
      <t>MASA (L6) (W)</t>
    </r>
  </si>
  <si>
    <r>
      <rPr>
        <sz val="5.5"/>
        <color theme="1"/>
        <rFont val="Tahoma"/>
        <family val="2"/>
      </rPr>
      <t xml:space="preserve">PARK, HEECHUL
</t>
    </r>
    <r>
      <rPr>
        <b/>
        <sz val="5.5"/>
        <color theme="1"/>
        <rFont val="Tahoma"/>
        <family val="2"/>
      </rPr>
      <t>CHUCK (L3) (R)</t>
    </r>
  </si>
  <si>
    <r>
      <rPr>
        <sz val="5.5"/>
        <color theme="1"/>
        <rFont val="Tahoma"/>
        <family val="2"/>
      </rPr>
      <t xml:space="preserve">ISOZAKI YUKA
</t>
    </r>
    <r>
      <rPr>
        <b/>
        <sz val="5.5"/>
        <color theme="1"/>
        <rFont val="Tahoma"/>
        <family val="2"/>
      </rPr>
      <t>ICE (L3) (W)</t>
    </r>
  </si>
  <si>
    <t>M74</t>
  </si>
  <si>
    <t>RAM</t>
  </si>
  <si>
    <r>
      <rPr>
        <sz val="5.5"/>
        <color theme="1"/>
        <rFont val="Tahoma"/>
        <family val="2"/>
      </rPr>
      <t xml:space="preserve">HIGUCHI KAI
</t>
    </r>
    <r>
      <rPr>
        <b/>
        <sz val="5.5"/>
        <color theme="1"/>
        <rFont val="Tahoma"/>
        <family val="2"/>
      </rPr>
      <t>GUCCHI (L5) (R)</t>
    </r>
  </si>
  <si>
    <r>
      <rPr>
        <sz val="5.5"/>
        <color theme="1"/>
        <rFont val="Tahoma"/>
        <family val="2"/>
      </rPr>
      <t xml:space="preserve">YOON SLE
</t>
    </r>
    <r>
      <rPr>
        <b/>
        <sz val="5.5"/>
        <color theme="1"/>
        <rFont val="Tahoma"/>
        <family val="2"/>
      </rPr>
      <t>LIN (L5) (R)</t>
    </r>
  </si>
  <si>
    <r>
      <rPr>
        <sz val="5.5"/>
        <rFont val="Tahoma"/>
        <family val="2"/>
      </rPr>
      <t xml:space="preserve">BYEONGCHEOL PARK
</t>
    </r>
    <r>
      <rPr>
        <b/>
        <sz val="5.5"/>
        <rFont val="Tahoma"/>
        <family val="2"/>
      </rPr>
      <t>WOODY (L3) (W)</t>
    </r>
  </si>
  <si>
    <r>
      <rPr>
        <sz val="5.5"/>
        <color theme="1"/>
        <rFont val="Tahoma"/>
        <family val="2"/>
      </rPr>
      <t xml:space="preserve">ERIKA MATSUBARA
</t>
    </r>
    <r>
      <rPr>
        <b/>
        <sz val="5.5"/>
        <color theme="1"/>
        <rFont val="Tahoma"/>
        <family val="2"/>
      </rPr>
      <t>EMMA (L4) (R)</t>
    </r>
  </si>
  <si>
    <r>
      <rPr>
        <sz val="5.5"/>
        <rFont val="Tahoma"/>
        <family val="2"/>
      </rPr>
      <t xml:space="preserve">NGUYEN DUC HOANG
</t>
    </r>
    <r>
      <rPr>
        <b/>
        <sz val="5.5"/>
        <rFont val="Tahoma"/>
        <family val="2"/>
      </rPr>
      <t>VICTOR (L4) (R)</t>
    </r>
  </si>
  <si>
    <r>
      <rPr>
        <sz val="5.5"/>
        <color theme="1"/>
        <rFont val="Tahoma"/>
        <family val="2"/>
      </rPr>
      <t xml:space="preserve">HONG WOO RIN
</t>
    </r>
    <r>
      <rPr>
        <b/>
        <sz val="5.5"/>
        <color theme="1"/>
        <rFont val="Tahoma"/>
        <family val="2"/>
      </rPr>
      <t>DANIEL HONG (L3) (R)</t>
    </r>
  </si>
  <si>
    <r>
      <rPr>
        <sz val="5.5"/>
        <color theme="1"/>
        <rFont val="Tahoma"/>
        <family val="2"/>
      </rPr>
      <t xml:space="preserve">KAWAGUCHI KIYOTO
</t>
    </r>
    <r>
      <rPr>
        <b/>
        <sz val="5.5"/>
        <color theme="1"/>
        <rFont val="Tahoma"/>
        <family val="2"/>
      </rPr>
      <t>KIYO (L6) (R)</t>
    </r>
  </si>
  <si>
    <t>M75</t>
  </si>
  <si>
    <t>RONEL</t>
  </si>
  <si>
    <r>
      <rPr>
        <sz val="5.5"/>
        <color theme="1"/>
        <rFont val="Tahoma"/>
        <family val="2"/>
      </rPr>
      <t xml:space="preserve">LEE AHREUM 
</t>
    </r>
    <r>
      <rPr>
        <b/>
        <sz val="5.5"/>
        <color theme="1"/>
        <rFont val="Tahoma"/>
        <family val="2"/>
      </rPr>
      <t>ANGELA (L3) (R)</t>
    </r>
  </si>
  <si>
    <r>
      <rPr>
        <sz val="5.5"/>
        <color theme="1"/>
        <rFont val="Tahoma"/>
        <family val="2"/>
      </rPr>
      <t xml:space="preserve">HAN MINJI
</t>
    </r>
    <r>
      <rPr>
        <b/>
        <sz val="5.5"/>
        <color theme="1"/>
        <rFont val="Tahoma"/>
        <family val="2"/>
      </rPr>
      <t>BONNIE (L6) (R)</t>
    </r>
  </si>
  <si>
    <r>
      <rPr>
        <sz val="5.5"/>
        <color theme="1"/>
        <rFont val="Tahoma"/>
        <family val="2"/>
      </rPr>
      <t xml:space="preserve">PARK SOYE
</t>
    </r>
    <r>
      <rPr>
        <b/>
        <sz val="5.5"/>
        <color theme="1"/>
        <rFont val="Tahoma"/>
        <family val="2"/>
      </rPr>
      <t>SOYE (L3) (R)</t>
    </r>
  </si>
  <si>
    <r>
      <rPr>
        <sz val="5.5"/>
        <color theme="1"/>
        <rFont val="Tahoma"/>
        <family val="2"/>
      </rPr>
      <t xml:space="preserve">MAYU FUJIWARA
</t>
    </r>
    <r>
      <rPr>
        <b/>
        <sz val="5.5"/>
        <color theme="1"/>
        <rFont val="Tahoma"/>
        <family val="2"/>
      </rPr>
      <t>MAYU (L4) (W)</t>
    </r>
  </si>
  <si>
    <r>
      <rPr>
        <sz val="5.5"/>
        <color theme="1"/>
        <rFont val="Tahoma"/>
        <family val="2"/>
      </rPr>
      <t xml:space="preserve">MARUOKA JUNKO
</t>
    </r>
    <r>
      <rPr>
        <b/>
        <sz val="5.5"/>
        <color theme="1"/>
        <rFont val="Tahoma"/>
        <family val="2"/>
      </rPr>
      <t>JUNKO (L3) (W)</t>
    </r>
  </si>
  <si>
    <r>
      <rPr>
        <sz val="5.5"/>
        <rFont val="Tahoma"/>
        <family val="2"/>
      </rPr>
      <t xml:space="preserve">CHO JUNHEE
</t>
    </r>
    <r>
      <rPr>
        <b/>
        <sz val="5.5"/>
        <rFont val="Tahoma"/>
        <family val="2"/>
      </rPr>
      <t>ERIC (L6) (R)</t>
    </r>
  </si>
  <si>
    <r>
      <rPr>
        <sz val="5.5"/>
        <color theme="1"/>
        <rFont val="Tahoma"/>
        <family val="2"/>
      </rPr>
      <t xml:space="preserve">JEON HYUNGJUN
</t>
    </r>
    <r>
      <rPr>
        <b/>
        <sz val="5.5"/>
        <color theme="1"/>
        <rFont val="Tahoma"/>
        <family val="2"/>
      </rPr>
      <t>JAKE (L5) (W)</t>
    </r>
  </si>
  <si>
    <t>M76</t>
  </si>
  <si>
    <t>CASE</t>
  </si>
  <si>
    <r>
      <rPr>
        <sz val="5.5"/>
        <rFont val="Tahoma"/>
        <family val="2"/>
      </rPr>
      <t xml:space="preserve">LEE NAKYEONG
</t>
    </r>
    <r>
      <rPr>
        <b/>
        <sz val="5.5"/>
        <rFont val="Tahoma"/>
        <family val="2"/>
      </rPr>
      <t>RAINA (L2) (S)</t>
    </r>
  </si>
  <si>
    <r>
      <rPr>
        <sz val="5.5"/>
        <rFont val="Tahoma"/>
        <family val="2"/>
      </rPr>
      <t xml:space="preserve">NGUYEN THI TU TRINH
</t>
    </r>
    <r>
      <rPr>
        <b/>
        <sz val="5.5"/>
        <rFont val="Tahoma"/>
        <family val="2"/>
      </rPr>
      <t>TRINH (L4) (S)</t>
    </r>
  </si>
  <si>
    <r>
      <rPr>
        <sz val="5.5"/>
        <rFont val="Tahoma"/>
        <family val="2"/>
      </rPr>
      <t xml:space="preserve">SHUNSUKE HANAWA
</t>
    </r>
    <r>
      <rPr>
        <b/>
        <sz val="5.5"/>
        <rFont val="Tahoma"/>
        <family val="2"/>
      </rPr>
      <t>SHUN (L3) (S)</t>
    </r>
  </si>
  <si>
    <r>
      <rPr>
        <sz val="5.5"/>
        <rFont val="Tahoma"/>
        <family val="2"/>
      </rPr>
      <t xml:space="preserve">LEE SE HYUN
</t>
    </r>
    <r>
      <rPr>
        <b/>
        <sz val="5.5"/>
        <rFont val="Tahoma"/>
        <family val="2"/>
      </rPr>
      <t xml:space="preserve">LEE (L4) (L)
</t>
    </r>
  </si>
  <si>
    <r>
      <rPr>
        <sz val="5.5"/>
        <rFont val="Tahoma"/>
        <family val="2"/>
      </rPr>
      <t xml:space="preserve">JIN SEUNGHWI
</t>
    </r>
    <r>
      <rPr>
        <b/>
        <sz val="5.5"/>
        <rFont val="Tahoma"/>
        <family val="2"/>
      </rPr>
      <t>JARBAN (L4) (L)</t>
    </r>
  </si>
  <si>
    <r>
      <rPr>
        <sz val="5.5"/>
        <rFont val="Tahoma"/>
        <family val="2"/>
      </rPr>
      <t xml:space="preserve">SEO JEONGHEE
</t>
    </r>
    <r>
      <rPr>
        <b/>
        <sz val="5.5"/>
        <rFont val="Tahoma"/>
        <family val="2"/>
      </rPr>
      <t>MIRANDA (L2) (S)</t>
    </r>
  </si>
  <si>
    <r>
      <rPr>
        <sz val="5.5"/>
        <color theme="1"/>
        <rFont val="Tahoma"/>
        <family val="2"/>
      </rPr>
      <t xml:space="preserve">LEE AHREUM 
</t>
    </r>
    <r>
      <rPr>
        <b/>
        <sz val="5.5"/>
        <color theme="1"/>
        <rFont val="Tahoma"/>
        <family val="2"/>
      </rPr>
      <t>ANGELA (L3) (S)</t>
    </r>
  </si>
  <si>
    <r>
      <rPr>
        <sz val="5.5"/>
        <color theme="1"/>
        <rFont val="Tahoma"/>
        <family val="2"/>
      </rPr>
      <t xml:space="preserve">NAKAMORI HOMARE
</t>
    </r>
    <r>
      <rPr>
        <b/>
        <sz val="5.5"/>
        <color theme="1"/>
        <rFont val="Tahoma"/>
        <family val="2"/>
      </rPr>
      <t>HOMA (L5) (S)</t>
    </r>
  </si>
  <si>
    <r>
      <rPr>
        <sz val="5.5"/>
        <rFont val="Tahoma"/>
        <family val="2"/>
      </rPr>
      <t xml:space="preserve">NAKAMURA KARIN
</t>
    </r>
    <r>
      <rPr>
        <b/>
        <sz val="5.5"/>
        <rFont val="Tahoma"/>
        <family val="2"/>
      </rPr>
      <t>KARIN (L4) (L)</t>
    </r>
  </si>
  <si>
    <t>M77</t>
  </si>
  <si>
    <t>JAZZ</t>
  </si>
  <si>
    <r>
      <rPr>
        <sz val="5.5"/>
        <rFont val="Tahoma"/>
        <family val="2"/>
      </rPr>
      <t xml:space="preserve">KANG YUMI
</t>
    </r>
    <r>
      <rPr>
        <b/>
        <sz val="5.5"/>
        <rFont val="Tahoma"/>
        <family val="2"/>
      </rPr>
      <t>YUMI (L1) (S)</t>
    </r>
  </si>
  <si>
    <r>
      <rPr>
        <sz val="5.5"/>
        <rFont val="Tahoma"/>
        <family val="2"/>
      </rPr>
      <t xml:space="preserve">VU THI HOANG DUOC
</t>
    </r>
    <r>
      <rPr>
        <b/>
        <sz val="5.5"/>
        <rFont val="Tahoma"/>
        <family val="2"/>
      </rPr>
      <t>DUOC (L5) (L)</t>
    </r>
  </si>
  <si>
    <r>
      <rPr>
        <sz val="5.5"/>
        <rFont val="Tahoma"/>
        <family val="2"/>
      </rPr>
      <t xml:space="preserve">KANG MINSEOK
</t>
    </r>
    <r>
      <rPr>
        <b/>
        <sz val="5.5"/>
        <rFont val="Tahoma"/>
        <family val="2"/>
      </rPr>
      <t xml:space="preserve">ALDO (L2) (S) </t>
    </r>
  </si>
  <si>
    <r>
      <rPr>
        <sz val="5.5"/>
        <rFont val="Tahoma"/>
        <family val="2"/>
      </rPr>
      <t xml:space="preserve">LEE SE HYUN
</t>
    </r>
    <r>
      <rPr>
        <b/>
        <sz val="5.5"/>
        <rFont val="Tahoma"/>
        <family val="2"/>
      </rPr>
      <t xml:space="preserve">LEE (L4) (S)
</t>
    </r>
  </si>
  <si>
    <r>
      <rPr>
        <sz val="5.5"/>
        <rFont val="Times New Roman"/>
        <family val="1"/>
      </rPr>
      <t xml:space="preserve">TAHIR ALBAIDHNI
</t>
    </r>
    <r>
      <rPr>
        <b/>
        <sz val="5.5"/>
        <rFont val="Times New Roman"/>
        <family val="1"/>
      </rPr>
      <t xml:space="preserve">TAHIR (L3) (L) </t>
    </r>
  </si>
  <si>
    <t>M78</t>
  </si>
  <si>
    <r>
      <rPr>
        <sz val="5.5"/>
        <color rgb="FF000000"/>
        <rFont val="Tahoma"/>
        <family val="2"/>
      </rPr>
      <t xml:space="preserve">HO THI TRANG
</t>
    </r>
    <r>
      <rPr>
        <b/>
        <sz val="5.5"/>
        <color rgb="FF000000"/>
        <rFont val="Tahoma"/>
        <family val="2"/>
      </rPr>
      <t>SOPHIA</t>
    </r>
    <r>
      <rPr>
        <sz val="5.5"/>
        <color rgb="FF000000"/>
        <rFont val="Tahoma"/>
        <family val="2"/>
      </rPr>
      <t xml:space="preserve"> </t>
    </r>
    <r>
      <rPr>
        <b/>
        <sz val="5.5"/>
        <color rgb="FF000000"/>
        <rFont val="Tahoma"/>
        <family val="2"/>
      </rPr>
      <t>(R)</t>
    </r>
  </si>
  <si>
    <r>
      <rPr>
        <sz val="5.5"/>
        <rFont val="Tahoma"/>
        <family val="2"/>
      </rPr>
      <t xml:space="preserve">HUYNH TRAN MINH THAO
</t>
    </r>
    <r>
      <rPr>
        <b/>
        <sz val="5.5"/>
        <rFont val="Tahoma"/>
        <family val="2"/>
      </rPr>
      <t>HATHI (L2)</t>
    </r>
  </si>
  <si>
    <r>
      <rPr>
        <sz val="5.5"/>
        <rFont val="Tahoma"/>
        <family val="2"/>
      </rPr>
      <t xml:space="preserve">LE THI BICH THUY
</t>
    </r>
    <r>
      <rPr>
        <b/>
        <sz val="5.5"/>
        <rFont val="Tahoma"/>
        <family val="2"/>
      </rPr>
      <t>JENNY (L3) (S)</t>
    </r>
  </si>
  <si>
    <r>
      <rPr>
        <sz val="5.5"/>
        <color theme="1"/>
        <rFont val="Tahoma"/>
        <family val="2"/>
      </rPr>
      <t xml:space="preserve">SINH
</t>
    </r>
    <r>
      <rPr>
        <b/>
        <sz val="5.5"/>
        <color theme="1"/>
        <rFont val="Tahoma"/>
        <family val="2"/>
      </rPr>
      <t>SHIN (L5)</t>
    </r>
  </si>
  <si>
    <r>
      <rPr>
        <sz val="5.5"/>
        <color theme="1"/>
        <rFont val="Tahoma"/>
        <family val="2"/>
      </rPr>
      <t xml:space="preserve">JEON HYUNGJUN
</t>
    </r>
    <r>
      <rPr>
        <b/>
        <sz val="5.5"/>
        <color theme="1"/>
        <rFont val="Tahoma"/>
        <family val="2"/>
      </rPr>
      <t>JAKE (L5) (S)</t>
    </r>
  </si>
  <si>
    <r>
      <rPr>
        <sz val="5.5"/>
        <color theme="1"/>
        <rFont val="Tahoma"/>
        <family val="2"/>
      </rPr>
      <t xml:space="preserve">HSIAO TIEN HSIN
</t>
    </r>
    <r>
      <rPr>
        <b/>
        <sz val="5.5"/>
        <color theme="1"/>
        <rFont val="Tahoma"/>
        <family val="2"/>
      </rPr>
      <t>LISA HSIAO (L3) (W)</t>
    </r>
  </si>
  <si>
    <t>IELTS CLASS</t>
  </si>
  <si>
    <t>CHE CHE /YVETTE</t>
  </si>
  <si>
    <r>
      <rPr>
        <sz val="5.5"/>
        <rFont val="Tahoma"/>
        <family val="2"/>
      </rPr>
      <t xml:space="preserve">LEE NAKYEONG
</t>
    </r>
    <r>
      <rPr>
        <b/>
        <sz val="5.5"/>
        <rFont val="Tahoma"/>
        <family val="2"/>
      </rPr>
      <t>RAINA (L2) (R) (Che Che)</t>
    </r>
  </si>
  <si>
    <r>
      <rPr>
        <sz val="5.5"/>
        <rFont val="Tahoma"/>
        <family val="2"/>
      </rPr>
      <t xml:space="preserve">SHINWOOSIK
</t>
    </r>
    <r>
      <rPr>
        <b/>
        <sz val="5.5"/>
        <rFont val="Tahoma"/>
        <family val="2"/>
      </rPr>
      <t>SIK (L1) (R) YVETTE</t>
    </r>
  </si>
  <si>
    <t>M79</t>
  </si>
  <si>
    <t>XI-JOHN</t>
  </si>
  <si>
    <r>
      <rPr>
        <sz val="5.5"/>
        <color rgb="FF000000"/>
        <rFont val="Tahoma"/>
        <family val="2"/>
      </rPr>
      <t xml:space="preserve">HO THI TRANG
</t>
    </r>
    <r>
      <rPr>
        <b/>
        <sz val="5.5"/>
        <color rgb="FF000000"/>
        <rFont val="Tahoma"/>
        <family val="2"/>
      </rPr>
      <t>SOPHIA</t>
    </r>
    <r>
      <rPr>
        <sz val="5.5"/>
        <color rgb="FF000000"/>
        <rFont val="Tahoma"/>
        <family val="2"/>
      </rPr>
      <t xml:space="preserve"> </t>
    </r>
    <r>
      <rPr>
        <b/>
        <sz val="5.5"/>
        <color rgb="FF000000"/>
        <rFont val="Tahoma"/>
        <family val="2"/>
      </rPr>
      <t>(L)</t>
    </r>
  </si>
  <si>
    <r>
      <rPr>
        <sz val="5.5"/>
        <color theme="1"/>
        <rFont val="Tahoma"/>
        <family val="2"/>
      </rPr>
      <t xml:space="preserve">LAN YI FEI
</t>
    </r>
    <r>
      <rPr>
        <b/>
        <sz val="5.5"/>
        <color theme="1"/>
        <rFont val="Tahoma"/>
        <family val="2"/>
      </rPr>
      <t xml:space="preserve">BLUE (L4) </t>
    </r>
  </si>
  <si>
    <r>
      <rPr>
        <sz val="5.5"/>
        <color theme="1"/>
        <rFont val="Tahoma"/>
        <family val="2"/>
      </rPr>
      <t xml:space="preserve">MIRAE LEE
</t>
    </r>
    <r>
      <rPr>
        <b/>
        <sz val="5.5"/>
        <color theme="1"/>
        <rFont val="Tahoma"/>
        <family val="2"/>
      </rPr>
      <t>FUTURE (L4)(R)</t>
    </r>
  </si>
  <si>
    <r>
      <rPr>
        <sz val="5.5"/>
        <rFont val="Tahoma"/>
        <family val="2"/>
      </rPr>
      <t>NAKAYAMA TETSUNORI</t>
    </r>
    <r>
      <rPr>
        <b/>
        <sz val="5.5"/>
        <rFont val="Tahoma"/>
        <family val="2"/>
      </rPr>
      <t xml:space="preserve">
NICK (L5)</t>
    </r>
  </si>
  <si>
    <r>
      <rPr>
        <sz val="5.5"/>
        <color theme="1"/>
        <rFont val="Tahoma"/>
        <family val="2"/>
      </rPr>
      <t xml:space="preserve">MIYAZATO YURINO
</t>
    </r>
    <r>
      <rPr>
        <b/>
        <sz val="5.5"/>
        <color theme="1"/>
        <rFont val="Tahoma"/>
        <family val="2"/>
      </rPr>
      <t>YUNO (L4) (L)</t>
    </r>
  </si>
  <si>
    <t>XI JOHN</t>
  </si>
  <si>
    <t>M80</t>
  </si>
  <si>
    <r>
      <t xml:space="preserve">PHAM NGOC HUONG
</t>
    </r>
    <r>
      <rPr>
        <b/>
        <sz val="5.5"/>
        <rFont val="Tahoma"/>
        <family val="2"/>
      </rPr>
      <t>JULIE</t>
    </r>
    <r>
      <rPr>
        <sz val="5.5"/>
        <rFont val="Tahoma"/>
        <family val="2"/>
      </rPr>
      <t xml:space="preserve"> </t>
    </r>
    <r>
      <rPr>
        <b/>
        <sz val="5.5"/>
        <rFont val="Tahoma"/>
        <family val="2"/>
      </rPr>
      <t>(R)</t>
    </r>
  </si>
  <si>
    <r>
      <rPr>
        <sz val="5.5"/>
        <rFont val="Tahoma"/>
        <family val="2"/>
      </rPr>
      <t xml:space="preserve">KIM BEOM JOON
</t>
    </r>
    <r>
      <rPr>
        <b/>
        <sz val="5.5"/>
        <rFont val="Tahoma"/>
        <family val="2"/>
      </rPr>
      <t>K (L4)</t>
    </r>
  </si>
  <si>
    <r>
      <rPr>
        <sz val="5.5"/>
        <color theme="1"/>
        <rFont val="Tahoma"/>
        <family val="2"/>
      </rPr>
      <t xml:space="preserve">USHIO KOSUKE
</t>
    </r>
    <r>
      <rPr>
        <b/>
        <sz val="5.5"/>
        <color theme="1"/>
        <rFont val="Tahoma"/>
        <family val="2"/>
      </rPr>
      <t xml:space="preserve">KOSUKE (L5) </t>
    </r>
  </si>
  <si>
    <r>
      <rPr>
        <sz val="5.5"/>
        <color theme="1"/>
        <rFont val="Tahoma"/>
        <family val="2"/>
      </rPr>
      <t xml:space="preserve">LEE SIJUNE
</t>
    </r>
    <r>
      <rPr>
        <b/>
        <sz val="5.5"/>
        <color theme="1"/>
        <rFont val="Tahoma"/>
        <family val="2"/>
      </rPr>
      <t>SIJUNE (L5) (L)</t>
    </r>
  </si>
  <si>
    <r>
      <rPr>
        <sz val="5.5"/>
        <color theme="1"/>
        <rFont val="Tahoma"/>
        <family val="2"/>
      </rPr>
      <t xml:space="preserve">JEONG-GEUN LEE
</t>
    </r>
    <r>
      <rPr>
        <b/>
        <sz val="5.5"/>
        <color theme="1"/>
        <rFont val="Tahoma"/>
        <family val="2"/>
      </rPr>
      <t>JAMES (L4) (L)</t>
    </r>
  </si>
  <si>
    <t>M81</t>
  </si>
  <si>
    <r>
      <rPr>
        <sz val="5.5"/>
        <color theme="1"/>
        <rFont val="Tahoma"/>
        <family val="2"/>
      </rPr>
      <t>SASAKI TAEKO</t>
    </r>
    <r>
      <rPr>
        <b/>
        <sz val="5.5"/>
        <color theme="1"/>
        <rFont val="Tahoma"/>
        <family val="2"/>
      </rPr>
      <t xml:space="preserve">
TAEKO (L5) (L)</t>
    </r>
  </si>
  <si>
    <r>
      <t xml:space="preserve">LE ANH HUY </t>
    </r>
    <r>
      <rPr>
        <b/>
        <sz val="5.5"/>
        <color rgb="FF000000"/>
        <rFont val="Tahoma"/>
        <family val="2"/>
      </rPr>
      <t xml:space="preserve">
BILL (S)</t>
    </r>
  </si>
  <si>
    <r>
      <rPr>
        <sz val="5.5"/>
        <rFont val="Tahoma"/>
        <family val="2"/>
      </rPr>
      <t xml:space="preserve">LIN CHENG RU
</t>
    </r>
    <r>
      <rPr>
        <b/>
        <sz val="5.5"/>
        <rFont val="Tahoma"/>
        <family val="2"/>
      </rPr>
      <t>DANIEL (L6) (W)</t>
    </r>
  </si>
  <si>
    <r>
      <rPr>
        <sz val="5.5"/>
        <color theme="1"/>
        <rFont val="Tahoma"/>
        <family val="2"/>
      </rPr>
      <t xml:space="preserve">KIM DONGHYUN
</t>
    </r>
    <r>
      <rPr>
        <b/>
        <sz val="5.5"/>
        <color theme="1"/>
        <rFont val="Tahoma"/>
        <family val="2"/>
      </rPr>
      <t>KYLE (L6) (W)</t>
    </r>
  </si>
  <si>
    <r>
      <rPr>
        <sz val="5.5"/>
        <color theme="1"/>
        <rFont val="Tahoma"/>
        <family val="2"/>
      </rPr>
      <t xml:space="preserve">UEZU RYO
</t>
    </r>
    <r>
      <rPr>
        <b/>
        <sz val="5.5"/>
        <color theme="1"/>
        <rFont val="Tahoma"/>
        <family val="2"/>
      </rPr>
      <t>LIO (L4) (L)</t>
    </r>
  </si>
  <si>
    <t>M82</t>
  </si>
  <si>
    <r>
      <rPr>
        <sz val="5.5"/>
        <color theme="1"/>
        <rFont val="Tahoma"/>
        <family val="2"/>
      </rPr>
      <t xml:space="preserve">PARK JAEHUN
</t>
    </r>
    <r>
      <rPr>
        <b/>
        <sz val="5.5"/>
        <color theme="1"/>
        <rFont val="Tahoma"/>
        <family val="2"/>
      </rPr>
      <t>HUNI (L5) (L)</t>
    </r>
  </si>
  <si>
    <r>
      <rPr>
        <sz val="5.5"/>
        <color theme="1"/>
        <rFont val="Tahoma"/>
        <family val="2"/>
      </rPr>
      <t xml:space="preserve">NOH HYUK MIN
</t>
    </r>
    <r>
      <rPr>
        <b/>
        <sz val="5.5"/>
        <color theme="1"/>
        <rFont val="Tahoma"/>
        <family val="2"/>
      </rPr>
      <t>NOH (L6) (R)</t>
    </r>
  </si>
  <si>
    <r>
      <rPr>
        <sz val="5.5"/>
        <rFont val="Tahoma"/>
        <family val="2"/>
      </rPr>
      <t xml:space="preserve">LEE YOUNGSOO
</t>
    </r>
    <r>
      <rPr>
        <b/>
        <sz val="5.5"/>
        <rFont val="Tahoma"/>
        <family val="2"/>
      </rPr>
      <t>MARTIN (L6) (R)</t>
    </r>
  </si>
  <si>
    <r>
      <rPr>
        <sz val="5.5"/>
        <color theme="1"/>
        <rFont val="Tahoma"/>
        <family val="2"/>
      </rPr>
      <t xml:space="preserve">MIRAE LEE
</t>
    </r>
    <r>
      <rPr>
        <b/>
        <sz val="5.5"/>
        <color theme="1"/>
        <rFont val="Tahoma"/>
        <family val="2"/>
      </rPr>
      <t>FUTURE (L4)</t>
    </r>
  </si>
  <si>
    <r>
      <rPr>
        <sz val="5.5"/>
        <color theme="1"/>
        <rFont val="Tahoma"/>
        <family val="2"/>
      </rPr>
      <t xml:space="preserve">HSU CHAO CHIA
</t>
    </r>
    <r>
      <rPr>
        <b/>
        <sz val="5.5"/>
        <color theme="1"/>
        <rFont val="Tahoma"/>
        <family val="2"/>
      </rPr>
      <t>JACK (L4) (R)</t>
    </r>
  </si>
  <si>
    <t>M83</t>
  </si>
  <si>
    <t>EDELYN</t>
  </si>
  <si>
    <r>
      <rPr>
        <sz val="5.5"/>
        <color theme="1"/>
        <rFont val="Tahoma"/>
        <family val="2"/>
      </rPr>
      <t xml:space="preserve">LEE RYUN HO
</t>
    </r>
    <r>
      <rPr>
        <b/>
        <sz val="5.5"/>
        <color theme="1"/>
        <rFont val="Tahoma"/>
        <family val="2"/>
      </rPr>
      <t>RYAN (L6) (S)</t>
    </r>
  </si>
  <si>
    <r>
      <rPr>
        <sz val="5.5"/>
        <color theme="1"/>
        <rFont val="Tahoma"/>
        <family val="2"/>
      </rPr>
      <t xml:space="preserve">YURI CHOI
</t>
    </r>
    <r>
      <rPr>
        <b/>
        <sz val="5.5"/>
        <color theme="1"/>
        <rFont val="Tahoma"/>
        <family val="2"/>
      </rPr>
      <t>DOROTHY (L4) (S)</t>
    </r>
  </si>
  <si>
    <r>
      <rPr>
        <sz val="5.5"/>
        <color theme="1"/>
        <rFont val="Tahoma"/>
        <family val="2"/>
      </rPr>
      <t xml:space="preserve">KAO KAI TING
</t>
    </r>
    <r>
      <rPr>
        <b/>
        <sz val="5.5"/>
        <color theme="1"/>
        <rFont val="Tahoma"/>
        <family val="2"/>
      </rPr>
      <t>JOSH (L2) (S)</t>
    </r>
  </si>
  <si>
    <r>
      <rPr>
        <sz val="5.5"/>
        <color theme="1"/>
        <rFont val="Tahoma"/>
        <family val="2"/>
      </rPr>
      <t xml:space="preserve">ZHOU ER XIANG
</t>
    </r>
    <r>
      <rPr>
        <b/>
        <sz val="5.5"/>
        <color theme="1"/>
        <rFont val="Tahoma"/>
        <family val="2"/>
      </rPr>
      <t>ALAN (L3) (R)</t>
    </r>
  </si>
  <si>
    <r>
      <rPr>
        <sz val="5.5"/>
        <color theme="1"/>
        <rFont val="Tahoma"/>
        <family val="2"/>
      </rPr>
      <t xml:space="preserve">ADACHI YUKI
</t>
    </r>
    <r>
      <rPr>
        <b/>
        <sz val="5.5"/>
        <color theme="1"/>
        <rFont val="Tahoma"/>
        <family val="2"/>
      </rPr>
      <t xml:space="preserve">SCARLET (L4) </t>
    </r>
  </si>
  <si>
    <r>
      <rPr>
        <sz val="5.5"/>
        <color theme="1"/>
        <rFont val="Tahoma"/>
        <family val="2"/>
      </rPr>
      <t xml:space="preserve">PARK JAEHUN
</t>
    </r>
    <r>
      <rPr>
        <b/>
        <sz val="5.5"/>
        <color theme="1"/>
        <rFont val="Tahoma"/>
        <family val="2"/>
      </rPr>
      <t>HUNI (L5)  (W)</t>
    </r>
  </si>
  <si>
    <r>
      <rPr>
        <sz val="5.5"/>
        <color rgb="FF000000"/>
        <rFont val="Tahoma"/>
        <family val="2"/>
      </rPr>
      <t xml:space="preserve">HO THI TRANG
</t>
    </r>
    <r>
      <rPr>
        <b/>
        <sz val="5.5"/>
        <color rgb="FF000000"/>
        <rFont val="Tahoma"/>
        <family val="2"/>
      </rPr>
      <t>(W)</t>
    </r>
  </si>
  <si>
    <r>
      <rPr>
        <sz val="5.5"/>
        <color theme="1"/>
        <rFont val="Tahoma"/>
        <family val="2"/>
      </rPr>
      <t xml:space="preserve">YU TSUNG YEH
</t>
    </r>
    <r>
      <rPr>
        <b/>
        <sz val="5.5"/>
        <color theme="1"/>
        <rFont val="Tahoma"/>
        <family val="2"/>
      </rPr>
      <t>MARK (L6) (L)</t>
    </r>
  </si>
  <si>
    <r>
      <rPr>
        <sz val="5.5"/>
        <rFont val="Tahoma"/>
        <family val="2"/>
      </rPr>
      <t xml:space="preserve">MAKO SAKAMOTO
</t>
    </r>
    <r>
      <rPr>
        <b/>
        <sz val="5.5"/>
        <rFont val="Tahoma"/>
        <family val="2"/>
      </rPr>
      <t>MAKO (L4) (W)</t>
    </r>
  </si>
  <si>
    <t>M84</t>
  </si>
  <si>
    <t>KEVIN</t>
  </si>
  <si>
    <r>
      <rPr>
        <sz val="5.5"/>
        <rFont val="Tahoma"/>
        <family val="2"/>
      </rPr>
      <t xml:space="preserve">KAGE MIYUKI
</t>
    </r>
    <r>
      <rPr>
        <b/>
        <sz val="5.5"/>
        <rFont val="Tahoma"/>
        <family val="2"/>
      </rPr>
      <t>KAGE</t>
    </r>
  </si>
  <si>
    <r>
      <rPr>
        <sz val="5.5"/>
        <rFont val="Tahoma"/>
        <family val="2"/>
      </rPr>
      <t xml:space="preserve">LE THI BICH THUY
</t>
    </r>
    <r>
      <rPr>
        <b/>
        <sz val="5.5"/>
        <rFont val="Tahoma"/>
        <family val="2"/>
      </rPr>
      <t>JENNY (L3) (W)</t>
    </r>
  </si>
  <si>
    <r>
      <t xml:space="preserve">ALZAHRANI, HAMZAH ALI </t>
    </r>
    <r>
      <rPr>
        <b/>
        <sz val="5.5"/>
        <color rgb="FF000000"/>
        <rFont val="Tahoma"/>
        <family val="2"/>
      </rPr>
      <t>A HAMZAH (S)</t>
    </r>
  </si>
  <si>
    <r>
      <rPr>
        <sz val="5.5"/>
        <color theme="1"/>
        <rFont val="Tahoma"/>
        <family val="2"/>
      </rPr>
      <t xml:space="preserve">CHUN HYUN WOO
</t>
    </r>
    <r>
      <rPr>
        <b/>
        <sz val="5.5"/>
        <color theme="1"/>
        <rFont val="Tahoma"/>
        <family val="2"/>
      </rPr>
      <t>ANDREW  (L4)  (S)</t>
    </r>
  </si>
  <si>
    <r>
      <rPr>
        <sz val="5.5"/>
        <color theme="1"/>
        <rFont val="Tahoma"/>
        <family val="2"/>
      </rPr>
      <t xml:space="preserve">LEEKWANGPIL
</t>
    </r>
    <r>
      <rPr>
        <b/>
        <sz val="5.5"/>
        <color theme="1"/>
        <rFont val="Tahoma"/>
        <family val="2"/>
      </rPr>
      <t>PHILIP (L5) (W)</t>
    </r>
  </si>
  <si>
    <t>HENLEY/JO</t>
  </si>
  <si>
    <r>
      <rPr>
        <sz val="5.5"/>
        <rFont val="Tahoma"/>
        <family val="2"/>
      </rPr>
      <t xml:space="preserve">LEE JIN JOO
</t>
    </r>
    <r>
      <rPr>
        <b/>
        <sz val="5.5"/>
        <rFont val="Tahoma"/>
        <family val="2"/>
      </rPr>
      <t>CRYSTAL (L4) (S) HENLEY</t>
    </r>
  </si>
  <si>
    <r>
      <rPr>
        <sz val="5.5"/>
        <color theme="1"/>
        <rFont val="Tahoma"/>
        <family val="2"/>
      </rPr>
      <t xml:space="preserve">HUANG ZHI HAO
</t>
    </r>
    <r>
      <rPr>
        <b/>
        <sz val="5.5"/>
        <color theme="1"/>
        <rFont val="Tahoma"/>
        <family val="2"/>
      </rPr>
      <t>HOWARD (L1) (W) JO</t>
    </r>
  </si>
  <si>
    <t>M85</t>
  </si>
  <si>
    <t>KAYE</t>
  </si>
  <si>
    <r>
      <rPr>
        <sz val="5.5"/>
        <rFont val="Tahoma"/>
        <family val="2"/>
      </rPr>
      <t xml:space="preserve">ISHIZAKI YURI
</t>
    </r>
    <r>
      <rPr>
        <b/>
        <sz val="5.5"/>
        <rFont val="Tahoma"/>
        <family val="2"/>
      </rPr>
      <t>YURI (L6)(R)</t>
    </r>
  </si>
  <si>
    <r>
      <t xml:space="preserve">NGUYEN TAN THAI
</t>
    </r>
    <r>
      <rPr>
        <b/>
        <sz val="5.5"/>
        <color rgb="FF000000"/>
        <rFont val="Tahoma"/>
        <family val="2"/>
      </rPr>
      <t>TAN</t>
    </r>
    <r>
      <rPr>
        <sz val="5.5"/>
        <color rgb="FF000000"/>
        <rFont val="Tahoma"/>
        <family val="2"/>
      </rPr>
      <t xml:space="preserve"> </t>
    </r>
    <r>
      <rPr>
        <b/>
        <sz val="5.5"/>
        <color rgb="FF000000"/>
        <rFont val="Tahoma"/>
        <family val="2"/>
      </rPr>
      <t>(S)</t>
    </r>
  </si>
  <si>
    <r>
      <rPr>
        <sz val="5.5"/>
        <color theme="1"/>
        <rFont val="Tahoma"/>
        <family val="2"/>
      </rPr>
      <t xml:space="preserve">TSUKAMOTO KOTA
</t>
    </r>
    <r>
      <rPr>
        <b/>
        <sz val="5.5"/>
        <color theme="1"/>
        <rFont val="Tahoma"/>
        <family val="2"/>
      </rPr>
      <t xml:space="preserve">KOTA (L4) </t>
    </r>
  </si>
  <si>
    <t>KU DO HEE
HAYLEE</t>
  </si>
  <si>
    <r>
      <rPr>
        <sz val="5.5"/>
        <color theme="1"/>
        <rFont val="Tahoma"/>
        <family val="2"/>
      </rPr>
      <t xml:space="preserve">LEEKYUNGSUN
</t>
    </r>
    <r>
      <rPr>
        <b/>
        <sz val="5.5"/>
        <color theme="1"/>
        <rFont val="Tahoma"/>
        <family val="2"/>
      </rPr>
      <t>SUNNY (l3) (R)</t>
    </r>
  </si>
  <si>
    <r>
      <rPr>
        <sz val="5.5"/>
        <color theme="1"/>
        <rFont val="Tahoma"/>
        <family val="2"/>
      </rPr>
      <t xml:space="preserve">OH JOO HEE
</t>
    </r>
    <r>
      <rPr>
        <b/>
        <sz val="5.5"/>
        <color theme="1"/>
        <rFont val="Tahoma"/>
        <family val="2"/>
      </rPr>
      <t>LUCIA (L5) (L)</t>
    </r>
  </si>
  <si>
    <r>
      <rPr>
        <sz val="5.5"/>
        <color theme="1"/>
        <rFont val="Tahoma"/>
        <family val="2"/>
      </rPr>
      <t xml:space="preserve">LU SHIH MING
</t>
    </r>
    <r>
      <rPr>
        <b/>
        <sz val="5.5"/>
        <color theme="1"/>
        <rFont val="Tahoma"/>
        <family val="2"/>
      </rPr>
      <t>ELSON (L4) (W)</t>
    </r>
  </si>
  <si>
    <r>
      <rPr>
        <sz val="5.5"/>
        <color theme="1"/>
        <rFont val="Tahoma"/>
        <family val="2"/>
      </rPr>
      <t xml:space="preserve">CHENG YU HSUAN
</t>
    </r>
    <r>
      <rPr>
        <b/>
        <sz val="5.5"/>
        <color theme="1"/>
        <rFont val="Tahoma"/>
        <family val="2"/>
      </rPr>
      <t>CAROL (L3) (W)</t>
    </r>
  </si>
  <si>
    <t>M86</t>
  </si>
  <si>
    <t>LYNN</t>
  </si>
  <si>
    <r>
      <rPr>
        <sz val="5.5"/>
        <color theme="1"/>
        <rFont val="Tahoma"/>
        <family val="2"/>
      </rPr>
      <t xml:space="preserve">HANDA TADAYOSHI
</t>
    </r>
    <r>
      <rPr>
        <b/>
        <sz val="5.5"/>
        <color theme="1"/>
        <rFont val="Tahoma"/>
        <family val="2"/>
      </rPr>
      <t>YORI (L4) (S)</t>
    </r>
  </si>
  <si>
    <r>
      <rPr>
        <sz val="5.5"/>
        <color theme="1"/>
        <rFont val="Tahoma"/>
        <family val="2"/>
      </rPr>
      <t xml:space="preserve">NOH HYUK MIN
</t>
    </r>
    <r>
      <rPr>
        <b/>
        <sz val="5.5"/>
        <color theme="1"/>
        <rFont val="Tahoma"/>
        <family val="2"/>
      </rPr>
      <t>NOH (L6) (W)</t>
    </r>
  </si>
  <si>
    <r>
      <rPr>
        <sz val="5.5"/>
        <color theme="1"/>
        <rFont val="Tahoma"/>
        <family val="2"/>
      </rPr>
      <t xml:space="preserve">HSIAO TIEN HSIN
</t>
    </r>
    <r>
      <rPr>
        <b/>
        <sz val="5.5"/>
        <color theme="1"/>
        <rFont val="Tahoma"/>
        <family val="2"/>
      </rPr>
      <t>LISA HSIAO (L3) (R)</t>
    </r>
  </si>
  <si>
    <t>M87</t>
  </si>
  <si>
    <t>ELLEN</t>
  </si>
  <si>
    <r>
      <rPr>
        <sz val="5.5"/>
        <rFont val="Tahoma"/>
        <family val="2"/>
      </rPr>
      <t xml:space="preserve">MIKA OKAMOTO
</t>
    </r>
    <r>
      <rPr>
        <b/>
        <sz val="5.5"/>
        <rFont val="Tahoma"/>
        <family val="2"/>
      </rPr>
      <t>MIKA</t>
    </r>
  </si>
  <si>
    <r>
      <rPr>
        <sz val="5.5"/>
        <rFont val="Tahoma"/>
        <family val="2"/>
      </rPr>
      <t xml:space="preserve">NAKANISHI MAKI
</t>
    </r>
    <r>
      <rPr>
        <b/>
        <sz val="5.5"/>
        <rFont val="Tahoma"/>
        <family val="2"/>
      </rPr>
      <t>NOA (L6) (R)</t>
    </r>
  </si>
  <si>
    <r>
      <rPr>
        <sz val="5.5"/>
        <color theme="1"/>
        <rFont val="Tahoma"/>
        <family val="2"/>
      </rPr>
      <t xml:space="preserve">KIM SUBIN
</t>
    </r>
    <r>
      <rPr>
        <b/>
        <sz val="5.5"/>
        <color theme="1"/>
        <rFont val="Tahoma"/>
        <family val="2"/>
      </rPr>
      <t>TOMAS (L5)</t>
    </r>
  </si>
  <si>
    <r>
      <rPr>
        <sz val="5.5"/>
        <color theme="1"/>
        <rFont val="Tahoma"/>
        <family val="2"/>
      </rPr>
      <t xml:space="preserve">KIM MINJUN
</t>
    </r>
    <r>
      <rPr>
        <b/>
        <sz val="5.5"/>
        <color theme="1"/>
        <rFont val="Tahoma"/>
        <family val="2"/>
      </rPr>
      <t>TONY (L5) (L)</t>
    </r>
  </si>
  <si>
    <r>
      <rPr>
        <sz val="5.5"/>
        <color theme="1"/>
        <rFont val="Tahoma"/>
        <family val="2"/>
      </rPr>
      <t xml:space="preserve">KATAGAWA YUSUKE 
</t>
    </r>
    <r>
      <rPr>
        <b/>
        <sz val="5.5"/>
        <rFont val="Tahoma"/>
        <family val="2"/>
      </rPr>
      <t xml:space="preserve">YUSUKE </t>
    </r>
  </si>
  <si>
    <r>
      <rPr>
        <sz val="5.5"/>
        <color theme="1"/>
        <rFont val="Tahoma"/>
        <family val="2"/>
      </rPr>
      <t xml:space="preserve">KAORI YAMAMOTO
</t>
    </r>
    <r>
      <rPr>
        <b/>
        <sz val="5.5"/>
        <color theme="1"/>
        <rFont val="Tahoma"/>
        <family val="2"/>
      </rPr>
      <t>KAORI (L4) (W)</t>
    </r>
  </si>
  <si>
    <r>
      <rPr>
        <sz val="5.5"/>
        <rFont val="Tahoma"/>
        <family val="2"/>
      </rPr>
      <t xml:space="preserve">ABDULLAH ADEL AWADH
</t>
    </r>
    <r>
      <rPr>
        <b/>
        <sz val="5.5"/>
        <rFont val="Tahoma"/>
        <family val="2"/>
      </rPr>
      <t xml:space="preserve">SADI (L3) </t>
    </r>
  </si>
  <si>
    <t>M88</t>
  </si>
  <si>
    <r>
      <rPr>
        <sz val="5.5"/>
        <rFont val="Tahoma"/>
        <family val="2"/>
      </rPr>
      <t xml:space="preserve">NGUYEN THI PHUONG UYEN
</t>
    </r>
    <r>
      <rPr>
        <b/>
        <sz val="5.5"/>
        <rFont val="Tahoma"/>
        <family val="2"/>
      </rPr>
      <t>ROSE</t>
    </r>
  </si>
  <si>
    <r>
      <rPr>
        <sz val="5.5"/>
        <color theme="1"/>
        <rFont val="Tahoma"/>
        <family val="2"/>
      </rPr>
      <t xml:space="preserve">LEE RYUN HO
</t>
    </r>
    <r>
      <rPr>
        <b/>
        <sz val="5.5"/>
        <color theme="1"/>
        <rFont val="Tahoma"/>
        <family val="2"/>
      </rPr>
      <t>RYAN (L6) (L)</t>
    </r>
  </si>
  <si>
    <r>
      <rPr>
        <sz val="5.5"/>
        <color theme="1"/>
        <rFont val="Tahoma"/>
        <family val="2"/>
      </rPr>
      <t xml:space="preserve">MIYAZATO YURINO
</t>
    </r>
    <r>
      <rPr>
        <b/>
        <sz val="5.5"/>
        <color theme="1"/>
        <rFont val="Tahoma"/>
        <family val="2"/>
      </rPr>
      <t>YUNO (L4) (R)</t>
    </r>
  </si>
  <si>
    <r>
      <rPr>
        <sz val="5.5"/>
        <rFont val="Tahoma"/>
        <family val="2"/>
      </rPr>
      <t xml:space="preserve">LE THI BICH THUY
</t>
    </r>
    <r>
      <rPr>
        <b/>
        <sz val="5.5"/>
        <rFont val="Tahoma"/>
        <family val="2"/>
      </rPr>
      <t>JENNY (L3) (R)</t>
    </r>
  </si>
  <si>
    <r>
      <rPr>
        <sz val="5.5"/>
        <color theme="1"/>
        <rFont val="Tahoma"/>
        <family val="2"/>
      </rPr>
      <t xml:space="preserve">JANG SUNG YEOB
</t>
    </r>
    <r>
      <rPr>
        <b/>
        <sz val="5.5"/>
        <color theme="1"/>
        <rFont val="Tahoma"/>
        <family val="2"/>
      </rPr>
      <t>JACOB (L)</t>
    </r>
  </si>
  <si>
    <t>M89</t>
  </si>
  <si>
    <t>JELLY</t>
  </si>
  <si>
    <r>
      <rPr>
        <sz val="5.5"/>
        <color theme="1"/>
        <rFont val="Tahoma"/>
        <family val="2"/>
      </rPr>
      <t xml:space="preserve">LYDARYE
</t>
    </r>
    <r>
      <rPr>
        <b/>
        <sz val="5.5"/>
        <color theme="1"/>
        <rFont val="Tahoma"/>
        <family val="2"/>
      </rPr>
      <t>SELINA (L2) (S)</t>
    </r>
  </si>
  <si>
    <r>
      <rPr>
        <sz val="5.5"/>
        <color theme="1"/>
        <rFont val="Tahoma"/>
        <family val="2"/>
      </rPr>
      <t>HYUNJUNG KIM</t>
    </r>
    <r>
      <rPr>
        <b/>
        <sz val="5.5"/>
        <color theme="1"/>
        <rFont val="Tahoma"/>
        <family val="2"/>
      </rPr>
      <t xml:space="preserve">
SISTINA (l4) (W) </t>
    </r>
  </si>
  <si>
    <r>
      <rPr>
        <sz val="5.5"/>
        <color theme="1"/>
        <rFont val="Tahoma"/>
        <family val="2"/>
      </rPr>
      <t xml:space="preserve">LEE SIIN
</t>
    </r>
    <r>
      <rPr>
        <b/>
        <sz val="5.5"/>
        <color theme="1"/>
        <rFont val="Tahoma"/>
        <family val="2"/>
      </rPr>
      <t>CINDY (L2)</t>
    </r>
  </si>
  <si>
    <t>M90</t>
  </si>
  <si>
    <t>TERESA</t>
  </si>
  <si>
    <r>
      <rPr>
        <sz val="5.5"/>
        <color theme="1"/>
        <rFont val="Tahoma"/>
        <family val="2"/>
      </rPr>
      <t xml:space="preserve">OH SOOEUN
</t>
    </r>
    <r>
      <rPr>
        <b/>
        <sz val="5.5"/>
        <color theme="1"/>
        <rFont val="Tahoma"/>
        <family val="2"/>
      </rPr>
      <t>SYUNI (L4) (S)</t>
    </r>
  </si>
  <si>
    <r>
      <rPr>
        <sz val="5.5"/>
        <color theme="1"/>
        <rFont val="Tahoma"/>
        <family val="2"/>
      </rPr>
      <t xml:space="preserve">LEE RYUN HO
</t>
    </r>
    <r>
      <rPr>
        <b/>
        <sz val="5.5"/>
        <color theme="1"/>
        <rFont val="Tahoma"/>
        <family val="2"/>
      </rPr>
      <t>RYAN (L6) (R)</t>
    </r>
  </si>
  <si>
    <r>
      <rPr>
        <sz val="5.5"/>
        <rFont val="Tahoma"/>
        <family val="2"/>
      </rPr>
      <t xml:space="preserve">LIN CHENG RU
</t>
    </r>
    <r>
      <rPr>
        <b/>
        <sz val="5.5"/>
        <rFont val="Tahoma"/>
        <family val="2"/>
      </rPr>
      <t>DANIEL (L6) (L)</t>
    </r>
  </si>
  <si>
    <r>
      <rPr>
        <sz val="5.5"/>
        <color theme="1"/>
        <rFont val="Tahoma"/>
        <family val="2"/>
      </rPr>
      <t xml:space="preserve">RYU, YOUNGJUN
</t>
    </r>
    <r>
      <rPr>
        <b/>
        <sz val="5.5"/>
        <color theme="1"/>
        <rFont val="Tahoma"/>
        <family val="2"/>
      </rPr>
      <t>JOHNY (L5)</t>
    </r>
  </si>
  <si>
    <r>
      <rPr>
        <sz val="5.5"/>
        <color theme="1"/>
        <rFont val="Tahoma"/>
        <family val="2"/>
      </rPr>
      <t xml:space="preserve">LIN PIN SYUAN
</t>
    </r>
    <r>
      <rPr>
        <b/>
        <sz val="5.5"/>
        <color theme="1"/>
        <rFont val="Tahoma"/>
        <family val="2"/>
      </rPr>
      <t>ZITA LIN (L5) (W)</t>
    </r>
  </si>
  <si>
    <r>
      <rPr>
        <sz val="5.5"/>
        <color theme="1"/>
        <rFont val="Tahoma"/>
        <family val="2"/>
      </rPr>
      <t xml:space="preserve">EUNKYUNG PARK
</t>
    </r>
    <r>
      <rPr>
        <b/>
        <sz val="5.5"/>
        <color theme="1"/>
        <rFont val="Tahoma"/>
        <family val="2"/>
      </rPr>
      <t>LISA (L3) (L)</t>
    </r>
  </si>
  <si>
    <t>M91</t>
  </si>
  <si>
    <t>CHAN-CHAN</t>
  </si>
  <si>
    <r>
      <rPr>
        <sz val="5.5"/>
        <color theme="1"/>
        <rFont val="Tahoma"/>
        <family val="2"/>
      </rPr>
      <t xml:space="preserve">JANG SUNG YEOB
</t>
    </r>
    <r>
      <rPr>
        <b/>
        <sz val="5.5"/>
        <color theme="1"/>
        <rFont val="Tahoma"/>
        <family val="2"/>
      </rPr>
      <t>JACOB (W)</t>
    </r>
  </si>
  <si>
    <r>
      <rPr>
        <sz val="5.5"/>
        <color theme="1"/>
        <rFont val="Tahoma"/>
        <family val="2"/>
      </rPr>
      <t xml:space="preserve">PARK JAEHUN
</t>
    </r>
    <r>
      <rPr>
        <b/>
        <sz val="5.5"/>
        <color theme="1"/>
        <rFont val="Tahoma"/>
        <family val="2"/>
      </rPr>
      <t>HUNI (L5) (R)</t>
    </r>
  </si>
  <si>
    <r>
      <rPr>
        <sz val="5.5"/>
        <rFont val="Tahoma"/>
        <family val="2"/>
      </rPr>
      <t xml:space="preserve">NGUYEN THI THUY NGA
</t>
    </r>
    <r>
      <rPr>
        <b/>
        <sz val="5.5"/>
        <color theme="1"/>
        <rFont val="Tahoma"/>
        <family val="2"/>
      </rPr>
      <t xml:space="preserve">ANNIE (L4) </t>
    </r>
  </si>
  <si>
    <r>
      <rPr>
        <sz val="5.5"/>
        <color rgb="FF000000"/>
        <rFont val="Tahoma"/>
        <family val="2"/>
      </rPr>
      <t xml:space="preserve">HO THI TRANG
</t>
    </r>
    <r>
      <rPr>
        <b/>
        <sz val="5.5"/>
        <color rgb="FF000000"/>
        <rFont val="Tahoma"/>
        <family val="2"/>
      </rPr>
      <t>SOPHIA</t>
    </r>
    <r>
      <rPr>
        <sz val="5.5"/>
        <color rgb="FF000000"/>
        <rFont val="Tahoma"/>
        <family val="2"/>
      </rPr>
      <t xml:space="preserve"> </t>
    </r>
    <r>
      <rPr>
        <b/>
        <sz val="5.5"/>
        <color rgb="FF000000"/>
        <rFont val="Tahoma"/>
        <family val="2"/>
      </rPr>
      <t>(S)</t>
    </r>
  </si>
  <si>
    <r>
      <rPr>
        <sz val="5.5"/>
        <color theme="1"/>
        <rFont val="Tahoma"/>
        <family val="2"/>
      </rPr>
      <t xml:space="preserve">RIKU SAKAMOTO
</t>
    </r>
    <r>
      <rPr>
        <b/>
        <sz val="5.5"/>
        <color theme="1"/>
        <rFont val="Tahoma"/>
        <family val="2"/>
      </rPr>
      <t>RIKU (L6) (L)</t>
    </r>
  </si>
  <si>
    <t>M92</t>
  </si>
  <si>
    <t xml:space="preserve"> NADJ</t>
  </si>
  <si>
    <r>
      <rPr>
        <sz val="5.5"/>
        <color theme="1"/>
        <rFont val="Tahoma"/>
        <family val="2"/>
      </rPr>
      <t xml:space="preserve">YOON SLE
</t>
    </r>
    <r>
      <rPr>
        <b/>
        <sz val="5.5"/>
        <color theme="1"/>
        <rFont val="Tahoma"/>
        <family val="2"/>
      </rPr>
      <t>LIN (L5) (W)</t>
    </r>
  </si>
  <si>
    <r>
      <rPr>
        <sz val="5.5"/>
        <color theme="1"/>
        <rFont val="Tahoma"/>
        <family val="2"/>
      </rPr>
      <t xml:space="preserve">JUNG DA YOUNG
</t>
    </r>
    <r>
      <rPr>
        <b/>
        <sz val="5.5"/>
        <color theme="1"/>
        <rFont val="Tahoma"/>
        <family val="2"/>
      </rPr>
      <t>MELISSA</t>
    </r>
    <r>
      <rPr>
        <sz val="5.5"/>
        <color theme="1"/>
        <rFont val="Tahoma"/>
        <family val="2"/>
      </rPr>
      <t xml:space="preserve"> </t>
    </r>
    <r>
      <rPr>
        <b/>
        <sz val="5.5"/>
        <color theme="1"/>
        <rFont val="Tahoma"/>
        <family val="2"/>
      </rPr>
      <t>(L3) (S)</t>
    </r>
  </si>
  <si>
    <t>SSR IELTS IN CHARGE</t>
  </si>
  <si>
    <r>
      <rPr>
        <sz val="5.5"/>
        <color theme="1"/>
        <rFont val="Tahoma"/>
        <family val="2"/>
      </rPr>
      <t xml:space="preserve">YASUKA OKADA
</t>
    </r>
    <r>
      <rPr>
        <b/>
        <sz val="5.5"/>
        <color theme="1"/>
        <rFont val="Tahoma"/>
        <family val="2"/>
      </rPr>
      <t>YASUKA (L5) (S)</t>
    </r>
  </si>
  <si>
    <t>NADJ</t>
  </si>
  <si>
    <t>FLORA MAY</t>
  </si>
  <si>
    <r>
      <rPr>
        <sz val="5.5"/>
        <rFont val="Tahoma"/>
        <family val="2"/>
      </rPr>
      <t>LEE JIN JOO</t>
    </r>
    <r>
      <rPr>
        <b/>
        <sz val="5.5"/>
        <rFont val="Tahoma"/>
        <family val="2"/>
      </rPr>
      <t xml:space="preserve">
CRYSTAL (L5) (W) FLORA MAY</t>
    </r>
  </si>
  <si>
    <r>
      <rPr>
        <sz val="5.5"/>
        <rFont val="Tahoma"/>
        <family val="2"/>
      </rPr>
      <t xml:space="preserve">TRAN THI THUY HUONG
</t>
    </r>
    <r>
      <rPr>
        <b/>
        <sz val="5.5"/>
        <rFont val="Tahoma"/>
        <family val="2"/>
      </rPr>
      <t>LUCKY (L5) (W)
FLORA MAY</t>
    </r>
  </si>
  <si>
    <t>M93</t>
  </si>
  <si>
    <t>MAE</t>
  </si>
  <si>
    <r>
      <rPr>
        <sz val="5.5"/>
        <rFont val="Tahoma"/>
        <family val="2"/>
      </rPr>
      <t xml:space="preserve">FUGA KITO
</t>
    </r>
    <r>
      <rPr>
        <b/>
        <sz val="5.5"/>
        <rFont val="Tahoma"/>
        <family val="2"/>
      </rPr>
      <t>FUGA (L4) (R)</t>
    </r>
  </si>
  <si>
    <r>
      <rPr>
        <sz val="5.5"/>
        <color theme="1"/>
        <rFont val="Tahoma"/>
        <family val="2"/>
      </rPr>
      <t xml:space="preserve">KASHIMA YUME
</t>
    </r>
    <r>
      <rPr>
        <b/>
        <sz val="5.5"/>
        <color theme="1"/>
        <rFont val="Tahoma"/>
        <family val="2"/>
      </rPr>
      <t>YUME (L4) (R)</t>
    </r>
  </si>
  <si>
    <r>
      <rPr>
        <sz val="5.5"/>
        <color theme="1"/>
        <rFont val="Tahoma"/>
        <family val="2"/>
      </rPr>
      <t xml:space="preserve">OSHIRO RYO
</t>
    </r>
    <r>
      <rPr>
        <b/>
        <sz val="5.5"/>
        <color theme="1"/>
        <rFont val="Tahoma"/>
        <family val="2"/>
      </rPr>
      <t>OSHIRO (L4) (W)</t>
    </r>
  </si>
  <si>
    <r>
      <rPr>
        <sz val="5.5"/>
        <rFont val="Tahoma"/>
        <family val="2"/>
      </rPr>
      <t xml:space="preserve">KANG YUMI
</t>
    </r>
    <r>
      <rPr>
        <b/>
        <sz val="5.5"/>
        <rFont val="Tahoma"/>
        <family val="2"/>
      </rPr>
      <t>YUMI (L1) (R)</t>
    </r>
  </si>
  <si>
    <r>
      <rPr>
        <sz val="5.5"/>
        <rFont val="Tahoma"/>
        <family val="2"/>
      </rPr>
      <t xml:space="preserve">KANG MINSEOK
</t>
    </r>
    <r>
      <rPr>
        <b/>
        <sz val="5.5"/>
        <rFont val="Tahoma"/>
        <family val="2"/>
      </rPr>
      <t>ALDO (L2) (R)</t>
    </r>
  </si>
  <si>
    <r>
      <rPr>
        <sz val="5.5"/>
        <rFont val="Tahoma"/>
        <family val="2"/>
      </rPr>
      <t xml:space="preserve">YAMAMOTO KEI
</t>
    </r>
    <r>
      <rPr>
        <b/>
        <sz val="5.5"/>
        <rFont val="Tahoma"/>
        <family val="2"/>
      </rPr>
      <t>KEI (L4) (W)</t>
    </r>
  </si>
  <si>
    <r>
      <rPr>
        <sz val="5.5"/>
        <rFont val="Tahoma"/>
        <family val="2"/>
      </rPr>
      <t xml:space="preserve">SHUNSUKE HANAWA
</t>
    </r>
    <r>
      <rPr>
        <b/>
        <sz val="5.5"/>
        <rFont val="Tahoma"/>
        <family val="2"/>
      </rPr>
      <t>SHUN (L3) (W)</t>
    </r>
  </si>
  <si>
    <r>
      <rPr>
        <sz val="5.5"/>
        <rFont val="Tahoma"/>
        <family val="2"/>
      </rPr>
      <t xml:space="preserve">JIN SEUNGHWI
</t>
    </r>
    <r>
      <rPr>
        <b/>
        <sz val="5.5"/>
        <rFont val="Tahoma"/>
        <family val="2"/>
      </rPr>
      <t>JARBAN (L4) (R)</t>
    </r>
  </si>
  <si>
    <r>
      <rPr>
        <sz val="5.5"/>
        <rFont val="Tahoma"/>
        <family val="2"/>
      </rPr>
      <t xml:space="preserve">LEE NAKYEONG
</t>
    </r>
    <r>
      <rPr>
        <b/>
        <sz val="5.5"/>
        <rFont val="Tahoma"/>
        <family val="2"/>
      </rPr>
      <t>RAINA (L2) (W)</t>
    </r>
  </si>
  <si>
    <t>CLEO</t>
  </si>
  <si>
    <t>M94</t>
  </si>
  <si>
    <t>HARVEY</t>
  </si>
  <si>
    <r>
      <t xml:space="preserve">TSAI MENG HUNG
</t>
    </r>
    <r>
      <rPr>
        <b/>
        <sz val="5.5"/>
        <rFont val="Tahoma"/>
        <family val="2"/>
      </rPr>
      <t>MATT</t>
    </r>
    <r>
      <rPr>
        <sz val="5.5"/>
        <rFont val="Tahoma"/>
        <family val="2"/>
      </rPr>
      <t xml:space="preserve"> </t>
    </r>
    <r>
      <rPr>
        <b/>
        <sz val="5.5"/>
        <rFont val="Tahoma"/>
        <family val="2"/>
      </rPr>
      <t>(W)</t>
    </r>
  </si>
  <si>
    <t>CHE CHE</t>
  </si>
  <si>
    <r>
      <rPr>
        <sz val="5.5"/>
        <rFont val="Tahoma"/>
        <family val="2"/>
      </rPr>
      <t xml:space="preserve">VU THI HOANG DUOC
</t>
    </r>
    <r>
      <rPr>
        <b/>
        <sz val="5.5"/>
        <rFont val="Tahoma"/>
        <family val="2"/>
      </rPr>
      <t>DUOC (L5) (W)</t>
    </r>
  </si>
  <si>
    <r>
      <rPr>
        <sz val="5.5"/>
        <rFont val="Tahoma"/>
        <family val="2"/>
      </rPr>
      <t xml:space="preserve">SEO JEONGHEE
</t>
    </r>
    <r>
      <rPr>
        <b/>
        <sz val="5.5"/>
        <rFont val="Tahoma"/>
        <family val="2"/>
      </rPr>
      <t>MIRANDA (L2) (R)</t>
    </r>
  </si>
  <si>
    <r>
      <rPr>
        <sz val="5.5"/>
        <rFont val="Tahoma"/>
        <family val="2"/>
      </rPr>
      <t xml:space="preserve">MINAGAWA HAYATO
</t>
    </r>
    <r>
      <rPr>
        <b/>
        <sz val="5.5"/>
        <rFont val="Tahoma"/>
        <family val="2"/>
      </rPr>
      <t>HAYA (L4) (W)</t>
    </r>
  </si>
  <si>
    <r>
      <rPr>
        <sz val="5.5"/>
        <rFont val="Tahoma"/>
        <family val="2"/>
      </rPr>
      <t xml:space="preserve">LEE SE HYUN
</t>
    </r>
    <r>
      <rPr>
        <b/>
        <sz val="5.5"/>
        <rFont val="Tahoma"/>
        <family val="2"/>
      </rPr>
      <t>LEE (L4) (R)</t>
    </r>
  </si>
  <si>
    <r>
      <rPr>
        <sz val="5.5"/>
        <rFont val="Tahoma"/>
        <family val="2"/>
      </rPr>
      <t xml:space="preserve">KANG MINSEOK
</t>
    </r>
    <r>
      <rPr>
        <b/>
        <sz val="5.5"/>
        <rFont val="Tahoma"/>
        <family val="2"/>
      </rPr>
      <t>ALDO (L2) (W)</t>
    </r>
  </si>
  <si>
    <r>
      <rPr>
        <sz val="5.5"/>
        <rFont val="Tahoma"/>
        <family val="2"/>
      </rPr>
      <t xml:space="preserve">JUNG EUNJU
</t>
    </r>
    <r>
      <rPr>
        <b/>
        <sz val="5.5"/>
        <rFont val="Tahoma"/>
        <family val="2"/>
      </rPr>
      <t>AUDREY (L5) (R)</t>
    </r>
  </si>
  <si>
    <t>M95</t>
  </si>
  <si>
    <t>KEEN</t>
  </si>
  <si>
    <r>
      <rPr>
        <sz val="5.5"/>
        <color theme="1"/>
        <rFont val="Tahoma"/>
        <family val="2"/>
      </rPr>
      <t xml:space="preserve">ALZAHRANI, ABDULRAHMAN 
</t>
    </r>
    <r>
      <rPr>
        <b/>
        <sz val="5.5"/>
        <color theme="1"/>
        <rFont val="Tahoma"/>
        <family val="2"/>
      </rPr>
      <t>ALBERT (L3) (L)</t>
    </r>
  </si>
  <si>
    <r>
      <rPr>
        <sz val="5.5"/>
        <color theme="1"/>
        <rFont val="Tahoma"/>
        <family val="2"/>
      </rPr>
      <t xml:space="preserve">KAORI YAMAMOTO
</t>
    </r>
    <r>
      <rPr>
        <b/>
        <sz val="5.5"/>
        <color theme="1"/>
        <rFont val="Tahoma"/>
        <family val="2"/>
      </rPr>
      <t>KAORI (L4) (S)</t>
    </r>
  </si>
  <si>
    <r>
      <rPr>
        <sz val="5.5"/>
        <color theme="1"/>
        <rFont val="Tahoma"/>
        <family val="2"/>
      </rPr>
      <t xml:space="preserve">JEONG-GEUN LEE
</t>
    </r>
    <r>
      <rPr>
        <b/>
        <sz val="5.5"/>
        <color theme="1"/>
        <rFont val="Tahoma"/>
        <family val="2"/>
      </rPr>
      <t>JAMES (L4) (S)</t>
    </r>
  </si>
  <si>
    <r>
      <rPr>
        <sz val="5.5"/>
        <color theme="1"/>
        <rFont val="Tahoma"/>
        <family val="2"/>
      </rPr>
      <t xml:space="preserve">OH JOO HEE
</t>
    </r>
    <r>
      <rPr>
        <b/>
        <sz val="5.5"/>
        <color theme="1"/>
        <rFont val="Tahoma"/>
        <family val="2"/>
      </rPr>
      <t>LUCIA (L5) (R)</t>
    </r>
  </si>
  <si>
    <r>
      <rPr>
        <sz val="5.5"/>
        <color theme="1"/>
        <rFont val="Tahoma"/>
        <family val="2"/>
      </rPr>
      <t xml:space="preserve">JANG SUNG YEOB
</t>
    </r>
    <r>
      <rPr>
        <b/>
        <sz val="5.5"/>
        <color theme="1"/>
        <rFont val="Tahoma"/>
        <family val="2"/>
      </rPr>
      <t>JACOB (R)</t>
    </r>
  </si>
  <si>
    <t>M96</t>
  </si>
  <si>
    <t>CHARMAINE</t>
  </si>
  <si>
    <r>
      <rPr>
        <sz val="5.5"/>
        <rFont val="Tahoma"/>
        <family val="2"/>
      </rPr>
      <t xml:space="preserve">LEE BORA
</t>
    </r>
    <r>
      <rPr>
        <b/>
        <sz val="5.5"/>
        <rFont val="Tahoma"/>
        <family val="2"/>
      </rPr>
      <t xml:space="preserve">BRITNEY (L4) </t>
    </r>
  </si>
  <si>
    <r>
      <t xml:space="preserve">TRAN NGOC ANH THU
</t>
    </r>
    <r>
      <rPr>
        <b/>
        <sz val="5.5"/>
        <rFont val="Tahoma"/>
        <family val="2"/>
      </rPr>
      <t>ANNA</t>
    </r>
    <r>
      <rPr>
        <sz val="5.5"/>
        <rFont val="Tahoma"/>
        <family val="2"/>
      </rPr>
      <t xml:space="preserve"> </t>
    </r>
    <r>
      <rPr>
        <b/>
        <sz val="5.5"/>
        <rFont val="Tahoma"/>
        <family val="2"/>
      </rPr>
      <t>(L)</t>
    </r>
  </si>
  <si>
    <r>
      <rPr>
        <sz val="5.5"/>
        <color theme="1"/>
        <rFont val="Tahoma"/>
        <family val="2"/>
      </rPr>
      <t xml:space="preserve">HSIAO TIEN HSIN
</t>
    </r>
    <r>
      <rPr>
        <b/>
        <sz val="5.5"/>
        <color theme="1"/>
        <rFont val="Tahoma"/>
        <family val="2"/>
      </rPr>
      <t>LISA HSIAO (L3) (S)</t>
    </r>
  </si>
  <si>
    <r>
      <rPr>
        <sz val="5.5"/>
        <rFont val="Tahoma"/>
        <family val="2"/>
      </rPr>
      <t>LEE JIN JOO</t>
    </r>
    <r>
      <rPr>
        <b/>
        <sz val="5.5"/>
        <rFont val="Tahoma"/>
        <family val="2"/>
      </rPr>
      <t xml:space="preserve">
CRYSTAL (L4) (S) M93 (L)</t>
    </r>
  </si>
  <si>
    <t>JO</t>
  </si>
  <si>
    <r>
      <rPr>
        <sz val="5.5"/>
        <rFont val="Tahoma"/>
        <family val="2"/>
      </rPr>
      <t xml:space="preserve">LEE JUHUN
</t>
    </r>
    <r>
      <rPr>
        <b/>
        <sz val="5.5"/>
        <rFont val="Tahoma"/>
        <family val="2"/>
      </rPr>
      <t>ABRAHAM (L5)(W)JO</t>
    </r>
  </si>
  <si>
    <r>
      <rPr>
        <sz val="5.5"/>
        <color theme="1"/>
        <rFont val="Tahoma"/>
        <family val="2"/>
      </rPr>
      <t xml:space="preserve">LIN CHENG EN
</t>
    </r>
    <r>
      <rPr>
        <b/>
        <sz val="5.5"/>
        <color theme="1"/>
        <rFont val="Tahoma"/>
        <family val="2"/>
      </rPr>
      <t>JERRY LIN (L4) (W) JO</t>
    </r>
  </si>
  <si>
    <t>M97</t>
  </si>
  <si>
    <t>ANNE</t>
  </si>
  <si>
    <r>
      <t xml:space="preserve">TRAN NGOC ANH THU
</t>
    </r>
    <r>
      <rPr>
        <b/>
        <sz val="5.5"/>
        <rFont val="Tahoma"/>
        <family val="2"/>
      </rPr>
      <t>ANNA (W)</t>
    </r>
  </si>
  <si>
    <r>
      <rPr>
        <sz val="5.5"/>
        <color theme="1"/>
        <rFont val="Tahoma"/>
        <family val="2"/>
      </rPr>
      <t xml:space="preserve">KAWAGUCHI KIYOTO
</t>
    </r>
    <r>
      <rPr>
        <b/>
        <sz val="5.5"/>
        <color theme="1"/>
        <rFont val="Tahoma"/>
        <family val="2"/>
      </rPr>
      <t>KIYO (L6) (S)</t>
    </r>
  </si>
  <si>
    <t>M98</t>
  </si>
  <si>
    <t>CHOI</t>
  </si>
  <si>
    <r>
      <rPr>
        <sz val="5.5"/>
        <color theme="1"/>
        <rFont val="Tahoma"/>
        <family val="2"/>
      </rPr>
      <t xml:space="preserve">ALAMMAJ FAISAL
</t>
    </r>
    <r>
      <rPr>
        <b/>
        <sz val="5.5"/>
        <color theme="1"/>
        <rFont val="Tahoma"/>
        <family val="2"/>
      </rPr>
      <t>FAISAL (L3) (W)</t>
    </r>
  </si>
  <si>
    <r>
      <rPr>
        <sz val="5.5"/>
        <color theme="1"/>
        <rFont val="Tahoma"/>
        <family val="2"/>
      </rPr>
      <t xml:space="preserve">HASHIMOTO TOMOYO
</t>
    </r>
    <r>
      <rPr>
        <b/>
        <sz val="5.5"/>
        <color theme="1"/>
        <rFont val="Tahoma"/>
        <family val="2"/>
      </rPr>
      <t>TOMOYO (L6)</t>
    </r>
  </si>
  <si>
    <r>
      <rPr>
        <sz val="5.5"/>
        <rFont val="Tahoma"/>
        <family val="2"/>
      </rPr>
      <t xml:space="preserve">LEE EUNJI
</t>
    </r>
    <r>
      <rPr>
        <b/>
        <sz val="5.5"/>
        <rFont val="Tahoma"/>
        <family val="2"/>
      </rPr>
      <t>JESSI (L4) (R)</t>
    </r>
  </si>
  <si>
    <r>
      <t xml:space="preserve">PHAM NGOC HUONG
</t>
    </r>
    <r>
      <rPr>
        <b/>
        <sz val="5.5"/>
        <rFont val="Tahoma"/>
        <family val="2"/>
      </rPr>
      <t>JULIE (S)</t>
    </r>
  </si>
  <si>
    <r>
      <rPr>
        <sz val="5.5"/>
        <color theme="1"/>
        <rFont val="Tahoma"/>
        <family val="2"/>
      </rPr>
      <t xml:space="preserve">PARK JAEHUN
</t>
    </r>
    <r>
      <rPr>
        <b/>
        <sz val="5.5"/>
        <color theme="1"/>
        <rFont val="Tahoma"/>
        <family val="2"/>
      </rPr>
      <t>HUNI (L5)  (S)</t>
    </r>
  </si>
  <si>
    <r>
      <rPr>
        <sz val="5.5"/>
        <color theme="1"/>
        <rFont val="Tahoma"/>
        <family val="2"/>
      </rPr>
      <t xml:space="preserve">KAORI YAMAMOTO
</t>
    </r>
    <r>
      <rPr>
        <b/>
        <sz val="5.5"/>
        <color theme="1"/>
        <rFont val="Tahoma"/>
        <family val="2"/>
      </rPr>
      <t>KAORI (L4) (R)</t>
    </r>
  </si>
  <si>
    <r>
      <rPr>
        <sz val="5.5"/>
        <rFont val="Tahoma"/>
        <family val="2"/>
      </rPr>
      <t xml:space="preserve">LEE EUNJEONG
</t>
    </r>
    <r>
      <rPr>
        <b/>
        <sz val="5.5"/>
        <rFont val="Tahoma"/>
        <family val="2"/>
      </rPr>
      <t>JEONG (L5) (R)</t>
    </r>
  </si>
  <si>
    <t>M99</t>
  </si>
  <si>
    <t>JUNE</t>
  </si>
  <si>
    <r>
      <t xml:space="preserve">TSAI MENG HUNG
</t>
    </r>
    <r>
      <rPr>
        <b/>
        <sz val="5.5"/>
        <rFont val="Tahoma"/>
        <family val="2"/>
      </rPr>
      <t>MATT (R)</t>
    </r>
  </si>
  <si>
    <r>
      <rPr>
        <sz val="5.5"/>
        <color theme="1"/>
        <rFont val="Tahoma"/>
        <family val="2"/>
      </rPr>
      <t xml:space="preserve">JOO SANGHYUN
</t>
    </r>
    <r>
      <rPr>
        <b/>
        <sz val="5.5"/>
        <color theme="1"/>
        <rFont val="Tahoma"/>
        <family val="2"/>
      </rPr>
      <t>JOO (L2)</t>
    </r>
  </si>
  <si>
    <r>
      <rPr>
        <sz val="5.5"/>
        <color theme="1"/>
        <rFont val="Tahoma"/>
        <family val="2"/>
      </rPr>
      <t xml:space="preserve">LEE SIJUNE
</t>
    </r>
    <r>
      <rPr>
        <b/>
        <sz val="5.5"/>
        <color theme="1"/>
        <rFont val="Tahoma"/>
        <family val="2"/>
      </rPr>
      <t>SIJUNE (L5) (R)</t>
    </r>
  </si>
  <si>
    <r>
      <rPr>
        <sz val="5.5"/>
        <color theme="1"/>
        <rFont val="Tahoma"/>
        <family val="2"/>
      </rPr>
      <t xml:space="preserve">SHIN KYUNG MI
</t>
    </r>
    <r>
      <rPr>
        <b/>
        <sz val="5.5"/>
        <color theme="1"/>
        <rFont val="Tahoma"/>
        <family val="2"/>
      </rPr>
      <t>LINA (L3)</t>
    </r>
  </si>
  <si>
    <t>M100</t>
  </si>
  <si>
    <r>
      <rPr>
        <sz val="5.5"/>
        <rFont val="Tahoma"/>
        <family val="2"/>
      </rPr>
      <t xml:space="preserve">CHIHO KASAISHI
</t>
    </r>
    <r>
      <rPr>
        <b/>
        <sz val="5.5"/>
        <rFont val="Tahoma"/>
        <family val="2"/>
      </rPr>
      <t>CHIHO (L4) (W)</t>
    </r>
  </si>
  <si>
    <r>
      <rPr>
        <sz val="5.5"/>
        <rFont val="Tahoma"/>
        <family val="2"/>
      </rPr>
      <t xml:space="preserve">LEE EUNJI
</t>
    </r>
    <r>
      <rPr>
        <b/>
        <sz val="5.5"/>
        <rFont val="Tahoma"/>
        <family val="2"/>
      </rPr>
      <t>JESSI (L4) (L)</t>
    </r>
  </si>
  <si>
    <r>
      <rPr>
        <sz val="5.5"/>
        <color theme="1"/>
        <rFont val="Tahoma"/>
        <family val="2"/>
      </rPr>
      <t xml:space="preserve">LEE HYUN SEON
</t>
    </r>
    <r>
      <rPr>
        <b/>
        <sz val="5.5"/>
        <color theme="1"/>
        <rFont val="Tahoma"/>
        <family val="2"/>
      </rPr>
      <t>JULIA (L5) (S)</t>
    </r>
  </si>
  <si>
    <r>
      <rPr>
        <sz val="5.5"/>
        <color theme="1"/>
        <rFont val="Tahoma"/>
        <family val="2"/>
      </rPr>
      <t xml:space="preserve">ADACHI YUKI
</t>
    </r>
    <r>
      <rPr>
        <b/>
        <sz val="5.5"/>
        <color theme="1"/>
        <rFont val="Tahoma"/>
        <family val="2"/>
      </rPr>
      <t>SCARLET (L4) (R)</t>
    </r>
  </si>
  <si>
    <r>
      <rPr>
        <sz val="5.5"/>
        <color theme="1"/>
        <rFont val="Tahoma"/>
        <family val="2"/>
      </rPr>
      <t>SASAKI TAEKO</t>
    </r>
    <r>
      <rPr>
        <b/>
        <sz val="5.5"/>
        <color theme="1"/>
        <rFont val="Tahoma"/>
        <family val="2"/>
      </rPr>
      <t xml:space="preserve">
TAEKO (L5) (W)</t>
    </r>
  </si>
  <si>
    <t>M101</t>
  </si>
  <si>
    <t>CUTE</t>
  </si>
  <si>
    <r>
      <rPr>
        <sz val="5.5"/>
        <color theme="1"/>
        <rFont val="Tahoma"/>
        <family val="2"/>
      </rPr>
      <t>KWONHANJIN
HANJIN</t>
    </r>
    <r>
      <rPr>
        <b/>
        <sz val="5.5"/>
        <color theme="1"/>
        <rFont val="Tahoma"/>
        <family val="2"/>
      </rPr>
      <t xml:space="preserve"> (L5) (S)</t>
    </r>
  </si>
  <si>
    <r>
      <rPr>
        <sz val="5.5"/>
        <color theme="1"/>
        <rFont val="Tahoma"/>
        <family val="2"/>
      </rPr>
      <t xml:space="preserve">YOON SLE
</t>
    </r>
    <r>
      <rPr>
        <b/>
        <sz val="5.5"/>
        <color theme="1"/>
        <rFont val="Tahoma"/>
        <family val="2"/>
      </rPr>
      <t>LIN (L5) (S)</t>
    </r>
  </si>
  <si>
    <r>
      <rPr>
        <sz val="5.5"/>
        <color theme="1"/>
        <rFont val="Tahoma"/>
        <family val="2"/>
      </rPr>
      <t xml:space="preserve">LEE RYUN HO
</t>
    </r>
    <r>
      <rPr>
        <b/>
        <sz val="5.5"/>
        <color theme="1"/>
        <rFont val="Tahoma"/>
        <family val="2"/>
      </rPr>
      <t>RYAN (L6) (W)</t>
    </r>
  </si>
  <si>
    <r>
      <rPr>
        <sz val="5.5"/>
        <color theme="1"/>
        <rFont val="Tahoma"/>
        <family val="2"/>
      </rPr>
      <t xml:space="preserve">LIN CHENG EN
</t>
    </r>
    <r>
      <rPr>
        <b/>
        <sz val="5.5"/>
        <color theme="1"/>
        <rFont val="Tahoma"/>
        <family val="2"/>
      </rPr>
      <t>JERRY LIN (L4) (L)</t>
    </r>
  </si>
  <si>
    <r>
      <rPr>
        <sz val="5.5"/>
        <color theme="1"/>
        <rFont val="Tahoma"/>
        <family val="2"/>
      </rPr>
      <t xml:space="preserve">LEEKYUNGSUN
</t>
    </r>
    <r>
      <rPr>
        <b/>
        <sz val="5.5"/>
        <color theme="1"/>
        <rFont val="Tahoma"/>
        <family val="2"/>
      </rPr>
      <t>SUNNY (l3) (W)</t>
    </r>
  </si>
  <si>
    <t>M102</t>
  </si>
  <si>
    <r>
      <t xml:space="preserve">YU JIHYE
</t>
    </r>
    <r>
      <rPr>
        <b/>
        <sz val="5.5"/>
        <rFont val="Tahoma"/>
        <family val="2"/>
      </rPr>
      <t xml:space="preserve"> JIHYE</t>
    </r>
  </si>
  <si>
    <r>
      <t xml:space="preserve">LE ANH HUY </t>
    </r>
    <r>
      <rPr>
        <b/>
        <sz val="5.5"/>
        <color rgb="FF000000"/>
        <rFont val="Tahoma"/>
        <family val="2"/>
      </rPr>
      <t xml:space="preserve">
BILL (W)</t>
    </r>
  </si>
  <si>
    <r>
      <t xml:space="preserve">NGUYEN TAN THAI
</t>
    </r>
    <r>
      <rPr>
        <b/>
        <sz val="5.5"/>
        <color rgb="FF000000"/>
        <rFont val="Tahoma"/>
        <family val="2"/>
      </rPr>
      <t>TAN</t>
    </r>
    <r>
      <rPr>
        <sz val="5.5"/>
        <color rgb="FF000000"/>
        <rFont val="Tahoma"/>
        <family val="2"/>
      </rPr>
      <t xml:space="preserve"> </t>
    </r>
    <r>
      <rPr>
        <b/>
        <sz val="5.5"/>
        <color rgb="FF000000"/>
        <rFont val="Tahoma"/>
        <family val="2"/>
      </rPr>
      <t>(R)</t>
    </r>
  </si>
  <si>
    <r>
      <t xml:space="preserve">PHAM NGOC HUONG
</t>
    </r>
    <r>
      <rPr>
        <b/>
        <sz val="5.5"/>
        <rFont val="Tahoma"/>
        <family val="2"/>
      </rPr>
      <t>JULIE (W)</t>
    </r>
  </si>
  <si>
    <r>
      <rPr>
        <sz val="5.5"/>
        <color theme="1"/>
        <rFont val="Tahoma"/>
        <family val="2"/>
      </rPr>
      <t xml:space="preserve">YASUKA OKADA
</t>
    </r>
    <r>
      <rPr>
        <b/>
        <sz val="5.5"/>
        <color theme="1"/>
        <rFont val="Tahoma"/>
        <family val="2"/>
      </rPr>
      <t>YASUKA (L5) (L)</t>
    </r>
  </si>
  <si>
    <r>
      <rPr>
        <sz val="5.5"/>
        <color theme="1"/>
        <rFont val="Tahoma"/>
        <family val="2"/>
      </rPr>
      <t xml:space="preserve">YOON SLE
</t>
    </r>
    <r>
      <rPr>
        <b/>
        <sz val="5.5"/>
        <color theme="1"/>
        <rFont val="Tahoma"/>
        <family val="2"/>
      </rPr>
      <t>LIN (L5) (L)</t>
    </r>
  </si>
  <si>
    <t>M103</t>
  </si>
  <si>
    <t>JINKY</t>
  </si>
  <si>
    <r>
      <t xml:space="preserve">TSAI MENG HUNG
</t>
    </r>
    <r>
      <rPr>
        <b/>
        <sz val="5.5"/>
        <rFont val="Tahoma"/>
        <family val="2"/>
      </rPr>
      <t>MATT (L)</t>
    </r>
  </si>
  <si>
    <r>
      <rPr>
        <sz val="5.5"/>
        <color theme="1"/>
        <rFont val="Tahoma"/>
        <family val="2"/>
      </rPr>
      <t xml:space="preserve">MIRAE LEE
</t>
    </r>
    <r>
      <rPr>
        <b/>
        <sz val="5.5"/>
        <color theme="1"/>
        <rFont val="Tahoma"/>
        <family val="2"/>
      </rPr>
      <t>FUTURE (L4) (L)</t>
    </r>
  </si>
  <si>
    <r>
      <rPr>
        <sz val="5.5"/>
        <color theme="1"/>
        <rFont val="Tahoma"/>
        <family val="2"/>
      </rPr>
      <t xml:space="preserve">HONG WOO RIN
</t>
    </r>
    <r>
      <rPr>
        <b/>
        <sz val="5.5"/>
        <color theme="1"/>
        <rFont val="Tahoma"/>
        <family val="2"/>
      </rPr>
      <t>DANIEL HONG (L3) (W)</t>
    </r>
  </si>
  <si>
    <r>
      <rPr>
        <sz val="5.5"/>
        <rFont val="Tahoma"/>
        <family val="2"/>
      </rPr>
      <t xml:space="preserve">LIN CHENG RU
</t>
    </r>
    <r>
      <rPr>
        <b/>
        <sz val="5.5"/>
        <rFont val="Tahoma"/>
        <family val="2"/>
      </rPr>
      <t>DANIEL (L6) (R)</t>
    </r>
  </si>
  <si>
    <r>
      <rPr>
        <sz val="5.5"/>
        <color theme="1"/>
        <rFont val="Tahoma"/>
        <family val="2"/>
      </rPr>
      <t xml:space="preserve">MIYAZATO YURINO
</t>
    </r>
    <r>
      <rPr>
        <b/>
        <sz val="5.5"/>
        <color theme="1"/>
        <rFont val="Tahoma"/>
        <family val="2"/>
      </rPr>
      <t>YUNO (L4) (W)</t>
    </r>
  </si>
  <si>
    <t>M104</t>
  </si>
  <si>
    <t>JUL</t>
  </si>
  <si>
    <r>
      <rPr>
        <sz val="5.5"/>
        <color theme="1"/>
        <rFont val="Tahoma"/>
        <family val="2"/>
      </rPr>
      <t xml:space="preserve">HAN MINSU
</t>
    </r>
    <r>
      <rPr>
        <b/>
        <sz val="5.5"/>
        <color theme="1"/>
        <rFont val="Tahoma"/>
        <family val="2"/>
      </rPr>
      <t>HAN (L1) (W)</t>
    </r>
  </si>
  <si>
    <t>M105</t>
  </si>
  <si>
    <t>JESSA</t>
  </si>
  <si>
    <r>
      <rPr>
        <sz val="5.5"/>
        <rFont val="Tahoma"/>
        <family val="2"/>
      </rPr>
      <t xml:space="preserve">RYOMA UECHI
</t>
    </r>
    <r>
      <rPr>
        <b/>
        <sz val="5.5"/>
        <rFont val="Tahoma"/>
        <family val="2"/>
      </rPr>
      <t>RYO (L4) (R)</t>
    </r>
  </si>
  <si>
    <r>
      <rPr>
        <sz val="5.5"/>
        <color theme="1"/>
        <rFont val="Tahoma"/>
        <family val="2"/>
      </rPr>
      <t xml:space="preserve">YAO ANN YAUN
</t>
    </r>
    <r>
      <rPr>
        <b/>
        <sz val="5.5"/>
        <color theme="1"/>
        <rFont val="Tahoma"/>
        <family val="2"/>
      </rPr>
      <t>ANN (L4) (R)</t>
    </r>
  </si>
  <si>
    <r>
      <rPr>
        <sz val="5.5"/>
        <color theme="1"/>
        <rFont val="Tahoma"/>
        <family val="2"/>
      </rPr>
      <t xml:space="preserve">MANAKO KAE
</t>
    </r>
    <r>
      <rPr>
        <b/>
        <sz val="5.5"/>
        <color theme="1"/>
        <rFont val="Tahoma"/>
        <family val="2"/>
      </rPr>
      <t>KAE (L5) (W)</t>
    </r>
  </si>
  <si>
    <r>
      <rPr>
        <sz val="5.5"/>
        <color theme="1"/>
        <rFont val="Tahoma"/>
        <family val="2"/>
      </rPr>
      <t xml:space="preserve">ISOZAKI YUKA
</t>
    </r>
    <r>
      <rPr>
        <b/>
        <sz val="5.5"/>
        <color theme="1"/>
        <rFont val="Tahoma"/>
        <family val="2"/>
      </rPr>
      <t>ICE (L3) (L)</t>
    </r>
  </si>
  <si>
    <t>Vacant</t>
  </si>
  <si>
    <r>
      <rPr>
        <sz val="5.5"/>
        <color theme="1"/>
        <rFont val="Tahoma"/>
        <family val="2"/>
      </rPr>
      <t xml:space="preserve">HONG WOO RIN
</t>
    </r>
    <r>
      <rPr>
        <b/>
        <sz val="5.5"/>
        <color theme="1"/>
        <rFont val="Tahoma"/>
        <family val="2"/>
      </rPr>
      <t>DANIEL HONG (L3) (S)</t>
    </r>
  </si>
  <si>
    <t>M106</t>
  </si>
  <si>
    <r>
      <rPr>
        <sz val="5.5"/>
        <rFont val="Tahoma"/>
        <family val="2"/>
      </rPr>
      <t xml:space="preserve">LIN CHENG RU
</t>
    </r>
    <r>
      <rPr>
        <b/>
        <sz val="5.5"/>
        <rFont val="Tahoma"/>
        <family val="2"/>
      </rPr>
      <t>DANIEL (L6) (S)</t>
    </r>
  </si>
  <si>
    <r>
      <rPr>
        <sz val="5.5"/>
        <color theme="1"/>
        <rFont val="Tahoma"/>
        <family val="2"/>
      </rPr>
      <t xml:space="preserve">KAWAGUCHI KIYOTO
</t>
    </r>
    <r>
      <rPr>
        <b/>
        <sz val="5.5"/>
        <color theme="1"/>
        <rFont val="Tahoma"/>
        <family val="2"/>
      </rPr>
      <t>KIYO (L6) (L)</t>
    </r>
  </si>
  <si>
    <r>
      <rPr>
        <sz val="5.5"/>
        <color theme="1"/>
        <rFont val="Tahoma"/>
        <family val="2"/>
      </rPr>
      <t xml:space="preserve">ADACHI YUKI
</t>
    </r>
    <r>
      <rPr>
        <b/>
        <sz val="5.5"/>
        <color theme="1"/>
        <rFont val="Tahoma"/>
        <family val="2"/>
      </rPr>
      <t>SCARLET (L4) (L)</t>
    </r>
  </si>
  <si>
    <r>
      <t xml:space="preserve">ALZAHRANI, HAMZAH ALI A </t>
    </r>
    <r>
      <rPr>
        <b/>
        <sz val="5.5"/>
        <rFont val="Tahoma"/>
        <family val="2"/>
      </rPr>
      <t>HAMZAH</t>
    </r>
    <r>
      <rPr>
        <sz val="5.5"/>
        <rFont val="Tahoma"/>
        <family val="2"/>
      </rPr>
      <t xml:space="preserve"> (L)</t>
    </r>
  </si>
  <si>
    <r>
      <rPr>
        <sz val="5.5"/>
        <color theme="1"/>
        <rFont val="Tahoma"/>
        <family val="2"/>
      </rPr>
      <t xml:space="preserve">JEONG-GEUN LEE
</t>
    </r>
    <r>
      <rPr>
        <b/>
        <sz val="5.5"/>
        <color theme="1"/>
        <rFont val="Tahoma"/>
        <family val="2"/>
      </rPr>
      <t>JAMES (L4) (R)</t>
    </r>
  </si>
  <si>
    <r>
      <rPr>
        <sz val="5.5"/>
        <color theme="1"/>
        <rFont val="Tahoma"/>
        <family val="2"/>
      </rPr>
      <t xml:space="preserve">LIN PIN SYUAN
</t>
    </r>
    <r>
      <rPr>
        <b/>
        <sz val="5.5"/>
        <color theme="1"/>
        <rFont val="Tahoma"/>
        <family val="2"/>
      </rPr>
      <t>ZITA LIN (L5) (L)</t>
    </r>
  </si>
  <si>
    <t>M107</t>
  </si>
  <si>
    <r>
      <t xml:space="preserve">NGUYEN TAN THAI
</t>
    </r>
    <r>
      <rPr>
        <b/>
        <sz val="5.5"/>
        <color rgb="FF000000"/>
        <rFont val="Tahoma"/>
        <family val="2"/>
      </rPr>
      <t>TAN (L)</t>
    </r>
  </si>
  <si>
    <r>
      <rPr>
        <sz val="5.5"/>
        <color theme="1"/>
        <rFont val="Tahoma"/>
        <family val="2"/>
      </rPr>
      <t>KWONHANJIN
HANJIN</t>
    </r>
    <r>
      <rPr>
        <b/>
        <sz val="5.5"/>
        <color theme="1"/>
        <rFont val="Tahoma"/>
        <family val="2"/>
      </rPr>
      <t xml:space="preserve"> (L5) (R)</t>
    </r>
  </si>
  <si>
    <r>
      <rPr>
        <sz val="5.5"/>
        <color theme="1"/>
        <rFont val="Tahoma"/>
        <family val="2"/>
      </rPr>
      <t xml:space="preserve">GU LIN HUI
</t>
    </r>
    <r>
      <rPr>
        <b/>
        <sz val="5.5"/>
        <color theme="1"/>
        <rFont val="Tahoma"/>
        <family val="2"/>
      </rPr>
      <t>AMY GU (L5) (W)</t>
    </r>
  </si>
  <si>
    <r>
      <rPr>
        <sz val="5.5"/>
        <color theme="1"/>
        <rFont val="Tahoma"/>
        <family val="2"/>
      </rPr>
      <t xml:space="preserve">YU TSUNG YEH
</t>
    </r>
    <r>
      <rPr>
        <b/>
        <sz val="5.5"/>
        <color theme="1"/>
        <rFont val="Tahoma"/>
        <family val="2"/>
      </rPr>
      <t>MARK (L6) (W)</t>
    </r>
  </si>
  <si>
    <r>
      <rPr>
        <sz val="5.5"/>
        <rFont val="Tahoma"/>
        <family val="2"/>
      </rPr>
      <t xml:space="preserve">ISHIZAKI YURI
</t>
    </r>
    <r>
      <rPr>
        <b/>
        <sz val="5.5"/>
        <rFont val="Tahoma"/>
        <family val="2"/>
      </rPr>
      <t>YURI (L6)(W)</t>
    </r>
  </si>
  <si>
    <r>
      <rPr>
        <sz val="5.5"/>
        <color theme="1"/>
        <rFont val="Tahoma"/>
        <family val="2"/>
      </rPr>
      <t xml:space="preserve">LEE GEUNYEON
</t>
    </r>
    <r>
      <rPr>
        <b/>
        <sz val="5.5"/>
        <color theme="1"/>
        <rFont val="Tahoma"/>
        <family val="2"/>
      </rPr>
      <t>STEVEN YEON (L4) (L)</t>
    </r>
  </si>
  <si>
    <r>
      <t xml:space="preserve">LE ANH HUY 
</t>
    </r>
    <r>
      <rPr>
        <b/>
        <sz val="5.5"/>
        <color rgb="FF000000"/>
        <rFont val="Tahoma"/>
        <family val="2"/>
      </rPr>
      <t>BILL</t>
    </r>
    <r>
      <rPr>
        <sz val="5.5"/>
        <color rgb="FF000000"/>
        <rFont val="Tahoma"/>
        <family val="2"/>
      </rPr>
      <t xml:space="preserve"> </t>
    </r>
    <r>
      <rPr>
        <b/>
        <sz val="5.5"/>
        <color rgb="FF000000"/>
        <rFont val="Tahoma"/>
        <family val="2"/>
      </rPr>
      <t>(L)</t>
    </r>
  </si>
  <si>
    <r>
      <rPr>
        <sz val="5.5"/>
        <color theme="1"/>
        <rFont val="Tahoma"/>
        <family val="2"/>
      </rPr>
      <t xml:space="preserve">OSHIRO RYO
</t>
    </r>
    <r>
      <rPr>
        <b/>
        <sz val="5.5"/>
        <color theme="1"/>
        <rFont val="Tahoma"/>
        <family val="2"/>
      </rPr>
      <t>OSHIRO (L4) (L)</t>
    </r>
  </si>
  <si>
    <t>M108</t>
  </si>
  <si>
    <t>ANJO</t>
  </si>
  <si>
    <r>
      <rPr>
        <sz val="5.5"/>
        <color theme="1"/>
        <rFont val="Tahoma"/>
        <family val="2"/>
      </rPr>
      <t xml:space="preserve">HAN MINSU
</t>
    </r>
    <r>
      <rPr>
        <b/>
        <sz val="5.5"/>
        <color theme="1"/>
        <rFont val="Tahoma"/>
        <family val="2"/>
      </rPr>
      <t>HAN (L1) (R)</t>
    </r>
  </si>
  <si>
    <r>
      <t xml:space="preserve">YU JIHYE
 </t>
    </r>
    <r>
      <rPr>
        <b/>
        <sz val="5.5"/>
        <rFont val="Tahoma"/>
        <family val="2"/>
      </rPr>
      <t>JIHYE</t>
    </r>
  </si>
  <si>
    <r>
      <rPr>
        <sz val="5.5"/>
        <color theme="1"/>
        <rFont val="Tahoma"/>
        <family val="2"/>
      </rPr>
      <t xml:space="preserve">ISOZAKI YUKA
</t>
    </r>
    <r>
      <rPr>
        <b/>
        <sz val="5.5"/>
        <color theme="1"/>
        <rFont val="Tahoma"/>
        <family val="2"/>
      </rPr>
      <t>ICE (L3) (R)</t>
    </r>
  </si>
  <si>
    <r>
      <rPr>
        <sz val="5.5"/>
        <rFont val="Tahoma"/>
        <family val="2"/>
      </rPr>
      <t>HYUN JOON AHN</t>
    </r>
    <r>
      <rPr>
        <b/>
        <sz val="5.5"/>
        <rFont val="Tahoma"/>
        <family val="2"/>
      </rPr>
      <t xml:space="preserve">
JOON (l6) (S)</t>
    </r>
  </si>
  <si>
    <t>M109</t>
  </si>
  <si>
    <t>GIE</t>
  </si>
  <si>
    <r>
      <rPr>
        <sz val="5.5"/>
        <color theme="1"/>
        <rFont val="Tahoma"/>
        <family val="2"/>
      </rPr>
      <t xml:space="preserve">KIMJIHYE
</t>
    </r>
    <r>
      <rPr>
        <b/>
        <sz val="5.5"/>
        <color theme="1"/>
        <rFont val="Tahoma"/>
        <family val="2"/>
      </rPr>
      <t>JEA JEA (L4) (L)</t>
    </r>
  </si>
  <si>
    <r>
      <rPr>
        <sz val="5.5"/>
        <color theme="1"/>
        <rFont val="Tahoma"/>
        <family val="2"/>
      </rPr>
      <t xml:space="preserve">HSIAO TIEN HSIN
</t>
    </r>
    <r>
      <rPr>
        <b/>
        <sz val="5.5"/>
        <color theme="1"/>
        <rFont val="Tahoma"/>
        <family val="2"/>
      </rPr>
      <t>LISA HSIAO (L3) (L)</t>
    </r>
  </si>
  <si>
    <t>M110</t>
  </si>
  <si>
    <r>
      <rPr>
        <sz val="5.5"/>
        <rFont val="Tahoma"/>
        <family val="2"/>
      </rPr>
      <t xml:space="preserve">LE THI BICH THUY
</t>
    </r>
    <r>
      <rPr>
        <b/>
        <sz val="5.5"/>
        <rFont val="Tahoma"/>
        <family val="2"/>
      </rPr>
      <t>JENNY (L3)</t>
    </r>
  </si>
  <si>
    <r>
      <rPr>
        <sz val="5.5"/>
        <rFont val="Tahoma"/>
        <family val="2"/>
      </rPr>
      <t xml:space="preserve">NGUYEN THI THUY NGA
</t>
    </r>
    <r>
      <rPr>
        <b/>
        <sz val="5.5"/>
        <color theme="1"/>
        <rFont val="Tahoma"/>
        <family val="2"/>
      </rPr>
      <t>ANNIE (L4)  (W)</t>
    </r>
  </si>
  <si>
    <r>
      <rPr>
        <sz val="5.5"/>
        <color theme="1"/>
        <rFont val="Tahoma"/>
        <family val="2"/>
      </rPr>
      <t xml:space="preserve">SOHN SUMIN
</t>
    </r>
    <r>
      <rPr>
        <b/>
        <sz val="5.5"/>
        <color theme="1"/>
        <rFont val="Tahoma"/>
        <family val="2"/>
      </rPr>
      <t>LUNA  (L5) (W)</t>
    </r>
  </si>
  <si>
    <t>M111</t>
  </si>
  <si>
    <t xml:space="preserve">JOEY </t>
  </si>
  <si>
    <r>
      <rPr>
        <sz val="5.5"/>
        <rFont val="Tahoma"/>
        <family val="2"/>
      </rPr>
      <t xml:space="preserve">LE THI BICH THUY
</t>
    </r>
    <r>
      <rPr>
        <b/>
        <sz val="5.5"/>
        <rFont val="Tahoma"/>
        <family val="2"/>
      </rPr>
      <t xml:space="preserve">JENNY (L3) </t>
    </r>
  </si>
  <si>
    <r>
      <rPr>
        <sz val="5.5"/>
        <rFont val="Tahoma"/>
        <family val="2"/>
      </rPr>
      <t xml:space="preserve">NGUYEN THI THUY NGA
</t>
    </r>
    <r>
      <rPr>
        <b/>
        <sz val="5.5"/>
        <color theme="1"/>
        <rFont val="Tahoma"/>
        <family val="2"/>
      </rPr>
      <t>ANNIE (L4) (S)</t>
    </r>
  </si>
  <si>
    <r>
      <t>ALZAHRANI, HAMZAH ALI A</t>
    </r>
    <r>
      <rPr>
        <b/>
        <sz val="5.5"/>
        <color rgb="FF000000"/>
        <rFont val="Tahoma"/>
        <family val="2"/>
      </rPr>
      <t xml:space="preserve"> HAMZAH</t>
    </r>
    <r>
      <rPr>
        <sz val="5.5"/>
        <color rgb="FF000000"/>
        <rFont val="Tahoma"/>
        <family val="2"/>
      </rPr>
      <t xml:space="preserve"> </t>
    </r>
    <r>
      <rPr>
        <b/>
        <sz val="5.5"/>
        <color rgb="FF000000"/>
        <rFont val="Tahoma"/>
        <family val="2"/>
      </rPr>
      <t>(W)</t>
    </r>
    <r>
      <rPr>
        <sz val="5.5"/>
        <color rgb="FF000000"/>
        <rFont val="Tahoma"/>
        <family val="2"/>
      </rPr>
      <t xml:space="preserve">
</t>
    </r>
  </si>
  <si>
    <r>
      <rPr>
        <sz val="5.5"/>
        <color theme="1"/>
        <rFont val="Tahoma"/>
        <family val="2"/>
      </rPr>
      <t xml:space="preserve">ZHOU ER XIANG
</t>
    </r>
    <r>
      <rPr>
        <b/>
        <sz val="5.5"/>
        <color theme="1"/>
        <rFont val="Tahoma"/>
        <family val="2"/>
      </rPr>
      <t>ALAN (L3) (W)</t>
    </r>
  </si>
  <si>
    <t>M112</t>
  </si>
  <si>
    <t xml:space="preserve">GERALDINE </t>
  </si>
  <si>
    <r>
      <rPr>
        <sz val="5.5"/>
        <color theme="1"/>
        <rFont val="Tahoma"/>
        <family val="2"/>
      </rPr>
      <t xml:space="preserve">MIYAZATO YURINO
</t>
    </r>
    <r>
      <rPr>
        <b/>
        <sz val="5.5"/>
        <color theme="1"/>
        <rFont val="Tahoma"/>
        <family val="2"/>
      </rPr>
      <t>YUNO (L4) (S)</t>
    </r>
  </si>
  <si>
    <r>
      <rPr>
        <sz val="5.5"/>
        <color theme="1"/>
        <rFont val="Tahoma"/>
        <family val="2"/>
      </rPr>
      <t xml:space="preserve">NISHIOKA KAYO
</t>
    </r>
    <r>
      <rPr>
        <b/>
        <sz val="5.5"/>
        <color theme="1"/>
        <rFont val="Tahoma"/>
        <family val="2"/>
      </rPr>
      <t>LILY (L4) (R)</t>
    </r>
  </si>
  <si>
    <r>
      <rPr>
        <sz val="5.5"/>
        <rFont val="Tahoma"/>
        <family val="2"/>
      </rPr>
      <t xml:space="preserve">LEE EUNJEONG
</t>
    </r>
    <r>
      <rPr>
        <b/>
        <sz val="5.5"/>
        <rFont val="Tahoma"/>
        <family val="2"/>
      </rPr>
      <t>JEONG (L5) (W)</t>
    </r>
  </si>
  <si>
    <r>
      <rPr>
        <sz val="5.5"/>
        <color theme="1"/>
        <rFont val="Tahoma"/>
        <family val="2"/>
      </rPr>
      <t xml:space="preserve">KIMTAEYEONG
</t>
    </r>
    <r>
      <rPr>
        <b/>
        <sz val="5.5"/>
        <color theme="1"/>
        <rFont val="Tahoma"/>
        <family val="2"/>
      </rPr>
      <t>WALDORF (L2) (S)</t>
    </r>
  </si>
  <si>
    <r>
      <rPr>
        <sz val="5.5"/>
        <color theme="1"/>
        <rFont val="Tahoma"/>
        <family val="2"/>
      </rPr>
      <t xml:space="preserve">WEI CHU CHUN
</t>
    </r>
    <r>
      <rPr>
        <b/>
        <sz val="5.5"/>
        <color theme="1"/>
        <rFont val="Tahoma"/>
        <family val="2"/>
      </rPr>
      <t>JING (L4) (R)</t>
    </r>
  </si>
  <si>
    <r>
      <rPr>
        <sz val="5.5"/>
        <color theme="1"/>
        <rFont val="Tahoma"/>
        <family val="2"/>
      </rPr>
      <t>IM KIYEONG</t>
    </r>
    <r>
      <rPr>
        <b/>
        <sz val="5.5"/>
        <color theme="1"/>
        <rFont val="Tahoma"/>
        <family val="2"/>
      </rPr>
      <t xml:space="preserve">
JOHN MICHAEL (L5) (W)</t>
    </r>
  </si>
  <si>
    <r>
      <rPr>
        <sz val="5.5"/>
        <rFont val="Tahoma"/>
        <family val="2"/>
      </rPr>
      <t xml:space="preserve">RYOMA UECHI
</t>
    </r>
    <r>
      <rPr>
        <b/>
        <sz val="5.5"/>
        <rFont val="Tahoma"/>
        <family val="2"/>
      </rPr>
      <t>RYO (L4) (L)</t>
    </r>
  </si>
  <si>
    <r>
      <rPr>
        <sz val="5.5"/>
        <color theme="1"/>
        <rFont val="Tahoma"/>
        <family val="2"/>
      </rPr>
      <t xml:space="preserve">CHIKAMOTO YURIKO
</t>
    </r>
    <r>
      <rPr>
        <b/>
        <sz val="5.5"/>
        <color theme="1"/>
        <rFont val="Tahoma"/>
        <family val="2"/>
      </rPr>
      <t>JUDY (L4) (S)</t>
    </r>
  </si>
  <si>
    <r>
      <rPr>
        <sz val="5.5"/>
        <rFont val="Tahoma"/>
        <family val="2"/>
      </rPr>
      <t xml:space="preserve">KANG YUMI
</t>
    </r>
    <r>
      <rPr>
        <b/>
        <sz val="5.5"/>
        <rFont val="Tahoma"/>
        <family val="2"/>
      </rPr>
      <t>YUMI (L1) (W)</t>
    </r>
  </si>
  <si>
    <t>GERALDINE</t>
  </si>
  <si>
    <t>M113</t>
  </si>
  <si>
    <r>
      <rPr>
        <sz val="5.5"/>
        <color theme="1"/>
        <rFont val="Tahoma"/>
        <family val="2"/>
      </rPr>
      <t xml:space="preserve">JANG BOYOUNG
</t>
    </r>
    <r>
      <rPr>
        <b/>
        <sz val="5.5"/>
        <color theme="1"/>
        <rFont val="Tahoma"/>
        <family val="2"/>
      </rPr>
      <t>RAILY (L4) (S)</t>
    </r>
  </si>
  <si>
    <t>M114</t>
  </si>
  <si>
    <t xml:space="preserve">SHELLA </t>
  </si>
  <si>
    <r>
      <rPr>
        <sz val="5.5"/>
        <rFont val="Tahoma"/>
        <family val="2"/>
      </rPr>
      <t xml:space="preserve">YASUMATSU HANAKO
</t>
    </r>
    <r>
      <rPr>
        <b/>
        <sz val="5.5"/>
        <rFont val="Tahoma"/>
        <family val="2"/>
      </rPr>
      <t>HANAKO (L6) (L)</t>
    </r>
  </si>
  <si>
    <r>
      <rPr>
        <sz val="5.5"/>
        <color theme="1"/>
        <rFont val="Tahoma"/>
        <family val="2"/>
      </rPr>
      <t xml:space="preserve">ALAMMAJ FAISAL
</t>
    </r>
    <r>
      <rPr>
        <b/>
        <sz val="5.5"/>
        <color theme="1"/>
        <rFont val="Tahoma"/>
        <family val="2"/>
      </rPr>
      <t>FAISAL (L3) (R)</t>
    </r>
  </si>
  <si>
    <r>
      <rPr>
        <sz val="5.5"/>
        <rFont val="Tahoma"/>
        <family val="2"/>
      </rPr>
      <t xml:space="preserve">NAKANISHI MAKI
</t>
    </r>
    <r>
      <rPr>
        <b/>
        <sz val="5.5"/>
        <rFont val="Tahoma"/>
        <family val="2"/>
      </rPr>
      <t>NOA (L6) (W)</t>
    </r>
  </si>
  <si>
    <r>
      <rPr>
        <sz val="5.5"/>
        <rFont val="Tahoma"/>
        <family val="2"/>
      </rPr>
      <t xml:space="preserve">LEE YOUNGSOO
</t>
    </r>
    <r>
      <rPr>
        <b/>
        <sz val="5.5"/>
        <rFont val="Tahoma"/>
        <family val="2"/>
      </rPr>
      <t>MARTIN (L6) (W)</t>
    </r>
  </si>
  <si>
    <t>M115</t>
  </si>
  <si>
    <r>
      <rPr>
        <sz val="5.5"/>
        <color theme="1"/>
        <rFont val="Tahoma"/>
        <family val="2"/>
      </rPr>
      <t>PARK CHAEEUN</t>
    </r>
    <r>
      <rPr>
        <b/>
        <sz val="5.5"/>
        <color theme="1"/>
        <rFont val="Tahoma"/>
        <family val="2"/>
      </rPr>
      <t xml:space="preserve">
VELY (L3) (R)</t>
    </r>
  </si>
  <si>
    <r>
      <rPr>
        <sz val="5.5"/>
        <color theme="1"/>
        <rFont val="Tahoma"/>
        <family val="2"/>
      </rPr>
      <t xml:space="preserve">LAN YI FEI
</t>
    </r>
    <r>
      <rPr>
        <b/>
        <sz val="5.5"/>
        <color theme="1"/>
        <rFont val="Tahoma"/>
        <family val="2"/>
      </rPr>
      <t>BLUE (L4) (L)</t>
    </r>
  </si>
  <si>
    <t>JOVY</t>
  </si>
  <si>
    <t>JO/MAX</t>
  </si>
  <si>
    <r>
      <rPr>
        <sz val="5.5"/>
        <rFont val="Tahoma"/>
        <family val="2"/>
      </rPr>
      <t xml:space="preserve">LEE JOU HWAN
</t>
    </r>
    <r>
      <rPr>
        <b/>
        <sz val="5.5"/>
        <rFont val="Tahoma"/>
        <family val="2"/>
      </rPr>
      <t>JU (L5) (W)
MAX</t>
    </r>
  </si>
  <si>
    <r>
      <rPr>
        <sz val="5.5"/>
        <rFont val="Tahoma"/>
        <family val="2"/>
      </rPr>
      <t xml:space="preserve">WATANABE CHIE
</t>
    </r>
    <r>
      <rPr>
        <b/>
        <sz val="5.5"/>
        <rFont val="Tahoma"/>
        <family val="2"/>
      </rPr>
      <t>CHI (L2) (W) (Max)</t>
    </r>
  </si>
  <si>
    <r>
      <rPr>
        <sz val="5.5"/>
        <color theme="1"/>
        <rFont val="Tahoma"/>
        <family val="2"/>
      </rPr>
      <t xml:space="preserve">MIIKE YUTA
</t>
    </r>
    <r>
      <rPr>
        <b/>
        <sz val="5.5"/>
        <color theme="1"/>
        <rFont val="Tahoma"/>
        <family val="2"/>
      </rPr>
      <t>MIKE (L5)(W) JO</t>
    </r>
  </si>
  <si>
    <r>
      <rPr>
        <sz val="5.5"/>
        <rFont val="Tahoma"/>
        <family val="2"/>
      </rPr>
      <t xml:space="preserve">NAKAMURA KARIN
</t>
    </r>
    <r>
      <rPr>
        <b/>
        <sz val="5.5"/>
        <rFont val="Tahoma"/>
        <family val="2"/>
      </rPr>
      <t>KARIN (L4) (W)
MAX</t>
    </r>
  </si>
  <si>
    <r>
      <rPr>
        <sz val="5.5"/>
        <rFont val="Tahoma"/>
        <family val="2"/>
      </rPr>
      <t xml:space="preserve">MINAGAWA HAYATO
</t>
    </r>
    <r>
      <rPr>
        <b/>
        <sz val="5.5"/>
        <rFont val="Tahoma"/>
        <family val="2"/>
      </rPr>
      <t>HAYA (L4) (R)MAX</t>
    </r>
  </si>
  <si>
    <t>M116</t>
  </si>
  <si>
    <t>KISHA</t>
  </si>
  <si>
    <r>
      <rPr>
        <sz val="5.5"/>
        <color theme="1"/>
        <rFont val="Tahoma"/>
        <family val="2"/>
      </rPr>
      <t xml:space="preserve">KIMTAEYEONG
</t>
    </r>
    <r>
      <rPr>
        <b/>
        <sz val="5.5"/>
        <color theme="1"/>
        <rFont val="Tahoma"/>
        <family val="2"/>
      </rPr>
      <t>WALDORF (L2) (W)</t>
    </r>
  </si>
  <si>
    <r>
      <rPr>
        <sz val="5.5"/>
        <color theme="1"/>
        <rFont val="Tahoma"/>
        <family val="2"/>
      </rPr>
      <t xml:space="preserve">JUNG DA YOUNG
</t>
    </r>
    <r>
      <rPr>
        <b/>
        <sz val="5.5"/>
        <color theme="1"/>
        <rFont val="Tahoma"/>
        <family val="2"/>
      </rPr>
      <t>MELISSA (L3) (L)</t>
    </r>
  </si>
  <si>
    <r>
      <rPr>
        <sz val="5.5"/>
        <rFont val="Tahoma"/>
        <family val="2"/>
      </rPr>
      <t xml:space="preserve">FUJITA MIHARU
</t>
    </r>
    <r>
      <rPr>
        <b/>
        <sz val="5.5"/>
        <rFont val="Tahoma"/>
        <family val="2"/>
      </rPr>
      <t>FUJI (L4) (L) (S)</t>
    </r>
  </si>
  <si>
    <r>
      <rPr>
        <sz val="5.5"/>
        <color theme="1"/>
        <rFont val="Tahoma"/>
        <family val="2"/>
      </rPr>
      <t xml:space="preserve">SHIN KYUNG MI
</t>
    </r>
    <r>
      <rPr>
        <b/>
        <sz val="5.5"/>
        <color theme="1"/>
        <rFont val="Tahoma"/>
        <family val="2"/>
      </rPr>
      <t>LINA (L3) (L)</t>
    </r>
  </si>
  <si>
    <r>
      <rPr>
        <sz val="5.5"/>
        <color theme="1"/>
        <rFont val="Tahoma"/>
        <family val="2"/>
      </rPr>
      <t xml:space="preserve">SAKI OKUMURA
</t>
    </r>
    <r>
      <rPr>
        <b/>
        <sz val="5.5"/>
        <color theme="1"/>
        <rFont val="Tahoma"/>
        <family val="2"/>
      </rPr>
      <t>SASSA (L3) (L)</t>
    </r>
  </si>
  <si>
    <t>M117</t>
  </si>
  <si>
    <r>
      <rPr>
        <sz val="5.5"/>
        <rFont val="Tahoma"/>
        <family val="2"/>
      </rPr>
      <t>LEE JIN JOO</t>
    </r>
    <r>
      <rPr>
        <b/>
        <sz val="5.5"/>
        <rFont val="Tahoma"/>
        <family val="2"/>
      </rPr>
      <t xml:space="preserve">
CRYSTAL (L4) (R) </t>
    </r>
  </si>
  <si>
    <r>
      <rPr>
        <sz val="5.5"/>
        <color theme="1"/>
        <rFont val="Tahoma"/>
        <family val="2"/>
      </rPr>
      <t xml:space="preserve">JANG SUNG WON
</t>
    </r>
    <r>
      <rPr>
        <b/>
        <sz val="5.5"/>
        <color theme="1"/>
        <rFont val="Tahoma"/>
        <family val="2"/>
      </rPr>
      <t>ANDREAS (L5) (L)</t>
    </r>
  </si>
  <si>
    <r>
      <rPr>
        <sz val="5.5"/>
        <rFont val="Tahoma"/>
        <family val="2"/>
      </rPr>
      <t>HYUN JOON AHN</t>
    </r>
    <r>
      <rPr>
        <b/>
        <sz val="5.5"/>
        <rFont val="Tahoma"/>
        <family val="2"/>
      </rPr>
      <t xml:space="preserve">
JOON (l6) (L)</t>
    </r>
  </si>
  <si>
    <r>
      <rPr>
        <sz val="5.5"/>
        <rFont val="Tahoma"/>
        <family val="2"/>
      </rPr>
      <t xml:space="preserve">KIM BEOM JOON
</t>
    </r>
    <r>
      <rPr>
        <b/>
        <sz val="5.5"/>
        <rFont val="Tahoma"/>
        <family val="2"/>
      </rPr>
      <t>K (L4) (R)</t>
    </r>
  </si>
  <si>
    <r>
      <rPr>
        <sz val="5.5"/>
        <rFont val="Tahoma"/>
        <family val="2"/>
      </rPr>
      <t xml:space="preserve">TRAN THI THUY HUONG
</t>
    </r>
    <r>
      <rPr>
        <b/>
        <sz val="5.5"/>
        <rFont val="Tahoma"/>
        <family val="2"/>
      </rPr>
      <t>LUCKY (L5) (S)</t>
    </r>
  </si>
  <si>
    <t>M118</t>
  </si>
  <si>
    <t>STEPH</t>
  </si>
  <si>
    <r>
      <rPr>
        <sz val="5.5"/>
        <color theme="1"/>
        <rFont val="Tahoma"/>
        <family val="2"/>
      </rPr>
      <t xml:space="preserve">ABDULHAMID ALSULAIMANI
</t>
    </r>
    <r>
      <rPr>
        <b/>
        <sz val="5.5"/>
        <color theme="1"/>
        <rFont val="Tahoma"/>
        <family val="2"/>
      </rPr>
      <t>MEEDO (L3) (S)</t>
    </r>
  </si>
  <si>
    <r>
      <t xml:space="preserve">TSAI MENG HUNG
</t>
    </r>
    <r>
      <rPr>
        <b/>
        <sz val="5.5"/>
        <rFont val="Tahoma"/>
        <family val="2"/>
      </rPr>
      <t>MATT (S)</t>
    </r>
  </si>
  <si>
    <r>
      <rPr>
        <sz val="5.5"/>
        <color theme="1"/>
        <rFont val="Tahoma"/>
        <family val="2"/>
      </rPr>
      <t xml:space="preserve">GU LIN HUI
</t>
    </r>
    <r>
      <rPr>
        <b/>
        <sz val="5.5"/>
        <color theme="1"/>
        <rFont val="Tahoma"/>
        <family val="2"/>
      </rPr>
      <t>AMY GU (L5) (L)</t>
    </r>
  </si>
  <si>
    <r>
      <rPr>
        <sz val="5.5"/>
        <color theme="1"/>
        <rFont val="Tahoma"/>
        <family val="2"/>
      </rPr>
      <t xml:space="preserve">ZHOU ER XIANG
</t>
    </r>
    <r>
      <rPr>
        <b/>
        <sz val="5.5"/>
        <color theme="1"/>
        <rFont val="Tahoma"/>
        <family val="2"/>
      </rPr>
      <t>ALAN (L3) (L)</t>
    </r>
  </si>
  <si>
    <r>
      <rPr>
        <sz val="5.5"/>
        <color theme="1"/>
        <rFont val="Tahoma"/>
        <family val="2"/>
      </rPr>
      <t xml:space="preserve">KAWAGUCHI KIYOTO
</t>
    </r>
    <r>
      <rPr>
        <b/>
        <sz val="5.5"/>
        <color theme="1"/>
        <rFont val="Tahoma"/>
        <family val="2"/>
      </rPr>
      <t>KIYO (L6) (W)</t>
    </r>
  </si>
  <si>
    <r>
      <rPr>
        <sz val="5.5"/>
        <color theme="1"/>
        <rFont val="Tahoma"/>
        <family val="2"/>
      </rPr>
      <t xml:space="preserve">ERIKA MATSUBARA
</t>
    </r>
    <r>
      <rPr>
        <b/>
        <sz val="5.5"/>
        <color theme="1"/>
        <rFont val="Tahoma"/>
        <family val="2"/>
      </rPr>
      <t>EMMA (L4) (W)</t>
    </r>
  </si>
  <si>
    <t>M119</t>
  </si>
  <si>
    <r>
      <t xml:space="preserve">ALZAHRANI, HAMZAH ALI A </t>
    </r>
    <r>
      <rPr>
        <b/>
        <sz val="5.5"/>
        <color rgb="FF000000"/>
        <rFont val="Tahoma"/>
        <family val="2"/>
      </rPr>
      <t>HAMZAH (R)</t>
    </r>
  </si>
  <si>
    <r>
      <rPr>
        <sz val="5.5"/>
        <color theme="1"/>
        <rFont val="Tahoma"/>
        <family val="2"/>
      </rPr>
      <t xml:space="preserve">SUZUKI RYUSEI
</t>
    </r>
    <r>
      <rPr>
        <b/>
        <sz val="5.5"/>
        <color theme="1"/>
        <rFont val="Tahoma"/>
        <family val="2"/>
      </rPr>
      <t>RYU (L2) (S)</t>
    </r>
  </si>
  <si>
    <r>
      <rPr>
        <sz val="5.5"/>
        <color theme="1"/>
        <rFont val="Tahoma"/>
        <family val="2"/>
      </rPr>
      <t xml:space="preserve">YASUKA OKADA
</t>
    </r>
    <r>
      <rPr>
        <b/>
        <sz val="5.5"/>
        <color theme="1"/>
        <rFont val="Tahoma"/>
        <family val="2"/>
      </rPr>
      <t>YASUKA (L5) (W)</t>
    </r>
  </si>
  <si>
    <r>
      <t xml:space="preserve">NGUYEN TAN THAI
</t>
    </r>
    <r>
      <rPr>
        <b/>
        <sz val="5.5"/>
        <color rgb="FF000000"/>
        <rFont val="Tahoma"/>
        <family val="2"/>
      </rPr>
      <t>TAN</t>
    </r>
    <r>
      <rPr>
        <sz val="5.5"/>
        <color rgb="FF000000"/>
        <rFont val="Tahoma"/>
        <family val="2"/>
      </rPr>
      <t xml:space="preserve"> </t>
    </r>
    <r>
      <rPr>
        <b/>
        <sz val="5.5"/>
        <color rgb="FF000000"/>
        <rFont val="Tahoma"/>
        <family val="2"/>
      </rPr>
      <t>(W)</t>
    </r>
  </si>
  <si>
    <r>
      <rPr>
        <sz val="5.5"/>
        <rFont val="Tahoma"/>
        <family val="2"/>
      </rPr>
      <t xml:space="preserve">FUGA KITO
</t>
    </r>
    <r>
      <rPr>
        <b/>
        <sz val="5.5"/>
        <rFont val="Tahoma"/>
        <family val="2"/>
      </rPr>
      <t>FUGA (L4) (W)</t>
    </r>
  </si>
  <si>
    <t>M120</t>
  </si>
  <si>
    <t>NIEL</t>
  </si>
  <si>
    <r>
      <rPr>
        <sz val="5.5"/>
        <rFont val="Tahoma"/>
        <family val="2"/>
      </rPr>
      <t xml:space="preserve">TRAN THI THUY HUONG
</t>
    </r>
    <r>
      <rPr>
        <b/>
        <sz val="5.5"/>
        <rFont val="Tahoma"/>
        <family val="2"/>
      </rPr>
      <t>LUCKY (L5) (R)</t>
    </r>
  </si>
  <si>
    <t>M121</t>
  </si>
  <si>
    <t>EVONIE</t>
  </si>
  <si>
    <r>
      <rPr>
        <sz val="5.5"/>
        <color theme="1"/>
        <rFont val="Tahoma"/>
        <family val="2"/>
      </rPr>
      <t xml:space="preserve">LEE GEUNYEON
</t>
    </r>
    <r>
      <rPr>
        <b/>
        <sz val="5.5"/>
        <color theme="1"/>
        <rFont val="Tahoma"/>
        <family val="2"/>
      </rPr>
      <t>STEVEN YEON (L4) (S)</t>
    </r>
  </si>
  <si>
    <r>
      <rPr>
        <sz val="5.5"/>
        <rFont val="Tahoma"/>
        <family val="2"/>
      </rPr>
      <t xml:space="preserve">SHINWOOSIK
</t>
    </r>
    <r>
      <rPr>
        <b/>
        <sz val="5.5"/>
        <rFont val="Tahoma"/>
        <family val="2"/>
      </rPr>
      <t>SIK (L1) (W)</t>
    </r>
  </si>
  <si>
    <r>
      <rPr>
        <sz val="5.5"/>
        <color theme="1"/>
        <rFont val="Tahoma"/>
        <family val="2"/>
      </rPr>
      <t xml:space="preserve">YASUKA OKADA
</t>
    </r>
    <r>
      <rPr>
        <b/>
        <sz val="5.5"/>
        <color theme="1"/>
        <rFont val="Tahoma"/>
        <family val="2"/>
      </rPr>
      <t>YASUKA (L5) (R)</t>
    </r>
  </si>
  <si>
    <r>
      <rPr>
        <sz val="5.5"/>
        <color theme="1"/>
        <rFont val="Tahoma"/>
        <family val="2"/>
      </rPr>
      <t xml:space="preserve">ABDULHAMID ALSULAIMANI
</t>
    </r>
    <r>
      <rPr>
        <b/>
        <sz val="5.5"/>
        <color theme="1"/>
        <rFont val="Tahoma"/>
        <family val="2"/>
      </rPr>
      <t>MEEDO (L3) (L)</t>
    </r>
  </si>
  <si>
    <r>
      <rPr>
        <sz val="5.5"/>
        <color theme="1"/>
        <rFont val="Tahoma"/>
        <family val="2"/>
      </rPr>
      <t xml:space="preserve">SAKI OKUMURA
</t>
    </r>
    <r>
      <rPr>
        <b/>
        <sz val="5.5"/>
        <color theme="1"/>
        <rFont val="Tahoma"/>
        <family val="2"/>
      </rPr>
      <t>SASSA (L3) (W)</t>
    </r>
  </si>
  <si>
    <r>
      <rPr>
        <sz val="5.5"/>
        <color theme="1"/>
        <rFont val="Tahoma"/>
        <family val="2"/>
      </rPr>
      <t xml:space="preserve">HASHIMOTO HIROMI
</t>
    </r>
    <r>
      <rPr>
        <b/>
        <sz val="5.5"/>
        <color theme="1"/>
        <rFont val="Tahoma"/>
        <family val="2"/>
      </rPr>
      <t>MIX (L3) (L)</t>
    </r>
  </si>
  <si>
    <t>M122</t>
  </si>
  <si>
    <r>
      <t xml:space="preserve">TRAN NGOC ANH THU
</t>
    </r>
    <r>
      <rPr>
        <b/>
        <sz val="5.5"/>
        <rFont val="Tahoma"/>
        <family val="2"/>
      </rPr>
      <t>ANNA</t>
    </r>
    <r>
      <rPr>
        <sz val="5.5"/>
        <rFont val="Tahoma"/>
        <family val="2"/>
      </rPr>
      <t xml:space="preserve"> </t>
    </r>
    <r>
      <rPr>
        <b/>
        <sz val="5.5"/>
        <rFont val="Tahoma"/>
        <family val="2"/>
      </rPr>
      <t>(R)</t>
    </r>
  </si>
  <si>
    <t xml:space="preserve">CNN CLASS  </t>
  </si>
  <si>
    <r>
      <rPr>
        <sz val="6"/>
        <color theme="1"/>
        <rFont val="Tahoma"/>
        <family val="2"/>
      </rPr>
      <t xml:space="preserve">KIMJIHYE
</t>
    </r>
    <r>
      <rPr>
        <b/>
        <sz val="6"/>
        <color theme="1"/>
        <rFont val="Tahoma"/>
        <family val="2"/>
      </rPr>
      <t>JEA JEA (L4) (S)</t>
    </r>
  </si>
  <si>
    <r>
      <rPr>
        <sz val="5.5"/>
        <color theme="1"/>
        <rFont val="Tahoma"/>
        <family val="2"/>
      </rPr>
      <t xml:space="preserve">GU LIN HUI
</t>
    </r>
    <r>
      <rPr>
        <b/>
        <sz val="5.5"/>
        <color theme="1"/>
        <rFont val="Tahoma"/>
        <family val="2"/>
      </rPr>
      <t>AMY GU (L5) (R)</t>
    </r>
  </si>
  <si>
    <r>
      <rPr>
        <sz val="5.5"/>
        <rFont val="Tahoma"/>
        <family val="2"/>
      </rPr>
      <t xml:space="preserve">LEE JUHUN
</t>
    </r>
    <r>
      <rPr>
        <b/>
        <sz val="5.5"/>
        <rFont val="Tahoma"/>
        <family val="2"/>
      </rPr>
      <t xml:space="preserve">ABRAHAM (L5)(L)
JOSIE
</t>
    </r>
  </si>
  <si>
    <r>
      <rPr>
        <sz val="5.5"/>
        <rFont val="Tahoma"/>
        <family val="2"/>
      </rPr>
      <t xml:space="preserve">YASUMATSU HANAKO
</t>
    </r>
    <r>
      <rPr>
        <b/>
        <sz val="5.5"/>
        <rFont val="Tahoma"/>
        <family val="2"/>
      </rPr>
      <t>HANAKO (L6) (S) JOSIE</t>
    </r>
  </si>
  <si>
    <t>M123</t>
  </si>
  <si>
    <r>
      <rPr>
        <sz val="5.5"/>
        <color theme="1"/>
        <rFont val="Tahoma"/>
        <family val="2"/>
      </rPr>
      <t xml:space="preserve">MINJI KANG
</t>
    </r>
    <r>
      <rPr>
        <b/>
        <sz val="5.5"/>
        <color theme="1"/>
        <rFont val="Tahoma"/>
        <family val="2"/>
      </rPr>
      <t>JENNA (L6) (R)</t>
    </r>
  </si>
  <si>
    <r>
      <rPr>
        <sz val="5.5"/>
        <color theme="1"/>
        <rFont val="Tahoma"/>
        <family val="2"/>
      </rPr>
      <t xml:space="preserve">KIMEUNJUNG
</t>
    </r>
    <r>
      <rPr>
        <b/>
        <sz val="5.5"/>
        <color theme="1"/>
        <rFont val="Tahoma"/>
        <family val="2"/>
      </rPr>
      <t>MISA (L3) (L)</t>
    </r>
  </si>
  <si>
    <r>
      <rPr>
        <sz val="5.5"/>
        <color theme="1"/>
        <rFont val="Tahoma"/>
        <family val="2"/>
      </rPr>
      <t xml:space="preserve">LEE SIJUNE
</t>
    </r>
    <r>
      <rPr>
        <b/>
        <sz val="5.5"/>
        <color theme="1"/>
        <rFont val="Tahoma"/>
        <family val="2"/>
      </rPr>
      <t>SIJUNE (L5) (W)</t>
    </r>
  </si>
  <si>
    <r>
      <rPr>
        <sz val="5.5"/>
        <color theme="1"/>
        <rFont val="Tahoma"/>
        <family val="2"/>
      </rPr>
      <t>IM KIYEONG</t>
    </r>
    <r>
      <rPr>
        <b/>
        <sz val="5.5"/>
        <color theme="1"/>
        <rFont val="Tahoma"/>
        <family val="2"/>
      </rPr>
      <t xml:space="preserve">
JOHN MICHAEL (L5) (R)</t>
    </r>
  </si>
  <si>
    <t>M124</t>
  </si>
  <si>
    <r>
      <t xml:space="preserve">LE ANH HUY </t>
    </r>
    <r>
      <rPr>
        <b/>
        <sz val="5.5"/>
        <color rgb="FF000000"/>
        <rFont val="Tahoma"/>
        <family val="2"/>
      </rPr>
      <t xml:space="preserve">
BILL (R)</t>
    </r>
  </si>
  <si>
    <r>
      <rPr>
        <sz val="5.5"/>
        <color theme="1"/>
        <rFont val="Tahoma"/>
        <family val="2"/>
      </rPr>
      <t xml:space="preserve">TRAN THI THUY HONG
</t>
    </r>
    <r>
      <rPr>
        <b/>
        <sz val="5.5"/>
        <color theme="1"/>
        <rFont val="Tahoma"/>
        <family val="2"/>
      </rPr>
      <t>TRAN (L2) (S)</t>
    </r>
  </si>
  <si>
    <r>
      <rPr>
        <sz val="5.5"/>
        <color theme="1"/>
        <rFont val="Tahoma"/>
        <family val="2"/>
      </rPr>
      <t xml:space="preserve">KIMEUNJUNG
</t>
    </r>
    <r>
      <rPr>
        <b/>
        <sz val="5.5"/>
        <color theme="1"/>
        <rFont val="Tahoma"/>
        <family val="2"/>
      </rPr>
      <t>MISA (L3) (S)</t>
    </r>
  </si>
  <si>
    <r>
      <t xml:space="preserve">TRAN NGOC ANH THU
</t>
    </r>
    <r>
      <rPr>
        <b/>
        <sz val="5.5"/>
        <rFont val="Tahoma"/>
        <family val="2"/>
      </rPr>
      <t>ANNA (S)</t>
    </r>
  </si>
  <si>
    <r>
      <rPr>
        <sz val="5.5"/>
        <rFont val="Tahoma"/>
        <family val="2"/>
      </rPr>
      <t xml:space="preserve">LEE EUNJI
</t>
    </r>
    <r>
      <rPr>
        <b/>
        <sz val="5.5"/>
        <rFont val="Tahoma"/>
        <family val="2"/>
      </rPr>
      <t>JESSI (L4) (W)</t>
    </r>
  </si>
  <si>
    <r>
      <rPr>
        <sz val="5.5"/>
        <color theme="1"/>
        <rFont val="Tahoma"/>
        <family val="2"/>
      </rPr>
      <t>IM KIYEONG</t>
    </r>
    <r>
      <rPr>
        <b/>
        <sz val="5.5"/>
        <color theme="1"/>
        <rFont val="Tahoma"/>
        <family val="2"/>
      </rPr>
      <t xml:space="preserve">
JOHN MICHAEL (L5) (S)</t>
    </r>
  </si>
  <si>
    <t>FAMILY ROOM</t>
  </si>
  <si>
    <t>M24</t>
  </si>
  <si>
    <t>HAZEL</t>
  </si>
  <si>
    <r>
      <rPr>
        <sz val="5.5"/>
        <rFont val="Tahoma"/>
        <family val="2"/>
      </rPr>
      <t xml:space="preserve">SATO EISAKU
</t>
    </r>
    <r>
      <rPr>
        <b/>
        <sz val="5.5"/>
        <rFont val="Tahoma"/>
        <family val="2"/>
      </rPr>
      <t>EISAKU (L4) (S)</t>
    </r>
  </si>
  <si>
    <r>
      <rPr>
        <sz val="5.5"/>
        <color theme="1"/>
        <rFont val="Tahoma"/>
        <family val="2"/>
      </rPr>
      <t xml:space="preserve">KIMJIHYE
</t>
    </r>
    <r>
      <rPr>
        <b/>
        <sz val="5.5"/>
        <color theme="1"/>
        <rFont val="Tahoma"/>
        <family val="2"/>
      </rPr>
      <t>JEA JEA (L4) (W)</t>
    </r>
  </si>
  <si>
    <r>
      <rPr>
        <sz val="5.5"/>
        <color theme="1"/>
        <rFont val="Tahoma"/>
        <family val="2"/>
      </rPr>
      <t xml:space="preserve">TAMURA MAMIKO
</t>
    </r>
    <r>
      <rPr>
        <b/>
        <sz val="5.5"/>
        <color theme="1"/>
        <rFont val="Tahoma"/>
        <family val="2"/>
      </rPr>
      <t>MAMIKO (L6) (W)</t>
    </r>
  </si>
  <si>
    <r>
      <rPr>
        <sz val="5.5"/>
        <color theme="1"/>
        <rFont val="Tahoma"/>
        <family val="2"/>
      </rPr>
      <t>WU MU SUNG</t>
    </r>
    <r>
      <rPr>
        <b/>
        <sz val="5.5"/>
        <color theme="1"/>
        <rFont val="Tahoma"/>
        <family val="2"/>
      </rPr>
      <t xml:space="preserve">
PIPI (L4) (L)</t>
    </r>
  </si>
  <si>
    <t>M25</t>
  </si>
  <si>
    <t>ALYSSA</t>
  </si>
  <si>
    <r>
      <rPr>
        <sz val="5.5"/>
        <rFont val="Tahoma"/>
        <family val="2"/>
      </rPr>
      <t xml:space="preserve">NGUYEN THI TU TRINH
</t>
    </r>
    <r>
      <rPr>
        <b/>
        <sz val="5.5"/>
        <rFont val="Tahoma"/>
        <family val="2"/>
      </rPr>
      <t>TRINH (L4) (R)</t>
    </r>
  </si>
  <si>
    <r>
      <rPr>
        <sz val="5.5"/>
        <color theme="1"/>
        <rFont val="Tahoma"/>
        <family val="2"/>
      </rPr>
      <t xml:space="preserve">YURI CHOI
</t>
    </r>
    <r>
      <rPr>
        <b/>
        <sz val="5.5"/>
        <color theme="1"/>
        <rFont val="Tahoma"/>
        <family val="2"/>
      </rPr>
      <t>DOROTHY (L4) (W)</t>
    </r>
  </si>
  <si>
    <r>
      <rPr>
        <sz val="5.5"/>
        <color theme="1"/>
        <rFont val="Tahoma"/>
        <family val="2"/>
      </rPr>
      <t xml:space="preserve">TAMURA MAMIKO
</t>
    </r>
    <r>
      <rPr>
        <b/>
        <sz val="5.5"/>
        <color theme="1"/>
        <rFont val="Tahoma"/>
        <family val="2"/>
      </rPr>
      <t>MAMIKO (L6) (R)</t>
    </r>
  </si>
  <si>
    <r>
      <t xml:space="preserve">MAKO SAKAMOTO
</t>
    </r>
    <r>
      <rPr>
        <b/>
        <sz val="5.5"/>
        <rFont val="Tahoma"/>
        <family val="2"/>
      </rPr>
      <t>MAKO (L4) (L)</t>
    </r>
  </si>
  <si>
    <t>M26</t>
  </si>
  <si>
    <t>MICHAEL</t>
  </si>
  <si>
    <r>
      <rPr>
        <sz val="5.5"/>
        <color theme="1"/>
        <rFont val="Tahoma"/>
        <family val="2"/>
      </rPr>
      <t xml:space="preserve">CHIKAMOTO YURIKO
</t>
    </r>
    <r>
      <rPr>
        <b/>
        <sz val="5.5"/>
        <color theme="1"/>
        <rFont val="Tahoma"/>
        <family val="2"/>
      </rPr>
      <t>JUDY (L4) (W)</t>
    </r>
  </si>
  <si>
    <r>
      <rPr>
        <sz val="5.5"/>
        <color theme="1"/>
        <rFont val="Tahoma"/>
        <family val="2"/>
      </rPr>
      <t xml:space="preserve">LYDARYE
</t>
    </r>
    <r>
      <rPr>
        <b/>
        <sz val="5.5"/>
        <color theme="1"/>
        <rFont val="Tahoma"/>
        <family val="2"/>
      </rPr>
      <t>SELINA (L2) (L)</t>
    </r>
  </si>
  <si>
    <r>
      <rPr>
        <sz val="5.5"/>
        <rFont val="Tahoma"/>
        <family val="2"/>
      </rPr>
      <t xml:space="preserve">KITAURA AYAKA
</t>
    </r>
    <r>
      <rPr>
        <b/>
        <sz val="5.5"/>
        <rFont val="Tahoma"/>
        <family val="2"/>
      </rPr>
      <t>YAN (L4) (L) (Josie)</t>
    </r>
  </si>
  <si>
    <r>
      <rPr>
        <sz val="5.5"/>
        <color theme="1"/>
        <rFont val="Tahoma"/>
        <family val="2"/>
      </rPr>
      <t xml:space="preserve">MIYAGAWA SATOKO
</t>
    </r>
    <r>
      <rPr>
        <b/>
        <sz val="5.5"/>
        <color theme="1"/>
        <rFont val="Tahoma"/>
        <family val="2"/>
      </rPr>
      <t xml:space="preserve"> SATOKO (L3) (L) (M26)</t>
    </r>
  </si>
  <si>
    <t>M27</t>
  </si>
  <si>
    <r>
      <rPr>
        <sz val="5.5"/>
        <color theme="1"/>
        <rFont val="Tahoma"/>
        <family val="2"/>
      </rPr>
      <t xml:space="preserve">LEEKYUNGSUN
</t>
    </r>
    <r>
      <rPr>
        <b/>
        <sz val="5.5"/>
        <color theme="1"/>
        <rFont val="Tahoma"/>
        <family val="2"/>
      </rPr>
      <t>SUNNY (l3) (S)</t>
    </r>
  </si>
  <si>
    <r>
      <rPr>
        <sz val="5.5"/>
        <rFont val="Tahoma"/>
        <family val="2"/>
      </rPr>
      <t xml:space="preserve">ABDULLAH ADEL AWADH
</t>
    </r>
    <r>
      <rPr>
        <b/>
        <sz val="5.5"/>
        <rFont val="Tahoma"/>
        <family val="2"/>
      </rPr>
      <t xml:space="preserve">SADI (L3) (R) </t>
    </r>
  </si>
  <si>
    <r>
      <rPr>
        <sz val="5.5"/>
        <color theme="1"/>
        <rFont val="Tahoma"/>
        <family val="2"/>
      </rPr>
      <t xml:space="preserve">JUNG DA YOUNG
</t>
    </r>
    <r>
      <rPr>
        <b/>
        <sz val="5.5"/>
        <color theme="1"/>
        <rFont val="Tahoma"/>
        <family val="2"/>
      </rPr>
      <t>MELISSA (L3) (W)</t>
    </r>
  </si>
  <si>
    <r>
      <rPr>
        <sz val="5.5"/>
        <rFont val="Tahoma"/>
        <family val="2"/>
      </rPr>
      <t xml:space="preserve">TRAN THI THUY HUONG
</t>
    </r>
    <r>
      <rPr>
        <b/>
        <sz val="5.5"/>
        <rFont val="Tahoma"/>
        <family val="2"/>
      </rPr>
      <t>LUCKY (L5) (L)</t>
    </r>
  </si>
  <si>
    <r>
      <rPr>
        <sz val="5.5"/>
        <color theme="1"/>
        <rFont val="Tahoma"/>
        <family val="2"/>
      </rPr>
      <t xml:space="preserve">CHIKAMOTO YURIKO
</t>
    </r>
    <r>
      <rPr>
        <b/>
        <sz val="5.5"/>
        <color theme="1"/>
        <rFont val="Tahoma"/>
        <family val="2"/>
      </rPr>
      <t>JUDY (L4) (L)</t>
    </r>
  </si>
  <si>
    <r>
      <rPr>
        <sz val="5.5"/>
        <color theme="1"/>
        <rFont val="Tahoma"/>
        <family val="2"/>
      </rPr>
      <t xml:space="preserve">YANG JUNGHEE
</t>
    </r>
    <r>
      <rPr>
        <b/>
        <sz val="5.5"/>
        <color theme="1"/>
        <rFont val="Tahoma"/>
        <family val="2"/>
      </rPr>
      <t>VIVIAN (L3) (S)</t>
    </r>
  </si>
  <si>
    <t>M28</t>
  </si>
  <si>
    <r>
      <rPr>
        <sz val="5.5"/>
        <color theme="1"/>
        <rFont val="Tahoma"/>
        <family val="2"/>
      </rPr>
      <t xml:space="preserve">SAKI OKUMURA
</t>
    </r>
    <r>
      <rPr>
        <b/>
        <sz val="5.5"/>
        <color theme="1"/>
        <rFont val="Tahoma"/>
        <family val="2"/>
      </rPr>
      <t>SASSA (L3) (S)</t>
    </r>
  </si>
  <si>
    <r>
      <rPr>
        <sz val="5.5"/>
        <rFont val="Tahoma"/>
        <family val="2"/>
      </rPr>
      <t xml:space="preserve">NGUYEN THI TU TRINH
</t>
    </r>
    <r>
      <rPr>
        <b/>
        <sz val="5.5"/>
        <rFont val="Tahoma"/>
        <family val="2"/>
      </rPr>
      <t>TRINH (L4) (W)</t>
    </r>
  </si>
  <si>
    <r>
      <rPr>
        <sz val="5.5"/>
        <color theme="1"/>
        <rFont val="Tahoma"/>
        <family val="2"/>
      </rPr>
      <t xml:space="preserve">YUN HYEONWOONG
</t>
    </r>
    <r>
      <rPr>
        <b/>
        <sz val="5.5"/>
        <color theme="1"/>
        <rFont val="Tahoma"/>
        <family val="2"/>
      </rPr>
      <t>HESSER (L3) (W)</t>
    </r>
  </si>
  <si>
    <r>
      <rPr>
        <sz val="5.5"/>
        <color theme="1"/>
        <rFont val="Tahoma"/>
        <family val="2"/>
      </rPr>
      <t xml:space="preserve">SEONG BAI LEE
</t>
    </r>
    <r>
      <rPr>
        <b/>
        <sz val="5.5"/>
        <color theme="1"/>
        <rFont val="Tahoma"/>
        <family val="2"/>
      </rPr>
      <t>LION  (L1) (L)</t>
    </r>
  </si>
  <si>
    <r>
      <rPr>
        <sz val="5.5"/>
        <color theme="1"/>
        <rFont val="Tahoma"/>
        <family val="2"/>
      </rPr>
      <t xml:space="preserve">GU LIN HUI
</t>
    </r>
    <r>
      <rPr>
        <b/>
        <sz val="5.5"/>
        <color theme="1"/>
        <rFont val="Tahoma"/>
        <family val="2"/>
      </rPr>
      <t>AMY GU (L5) (S)</t>
    </r>
  </si>
  <si>
    <r>
      <rPr>
        <sz val="5.5"/>
        <color rgb="FF000000"/>
        <rFont val="Tahoma"/>
        <family val="2"/>
      </rPr>
      <t xml:space="preserve">SAKAGUCHI HITOSHI
</t>
    </r>
    <r>
      <rPr>
        <b/>
        <sz val="5.5"/>
        <color rgb="FF000000"/>
        <rFont val="Tahoma"/>
        <family val="2"/>
      </rPr>
      <t>TOSHI M28</t>
    </r>
  </si>
  <si>
    <t>M29</t>
  </si>
  <si>
    <t>LURA</t>
  </si>
  <si>
    <r>
      <rPr>
        <sz val="5.5"/>
        <color theme="1"/>
        <rFont val="Tahoma"/>
        <family val="2"/>
      </rPr>
      <t xml:space="preserve">MIYAGAWA SATOKO
</t>
    </r>
    <r>
      <rPr>
        <b/>
        <sz val="5.5"/>
        <color theme="1"/>
        <rFont val="Tahoma"/>
        <family val="2"/>
      </rPr>
      <t xml:space="preserve"> SATOKO (L3) (S)</t>
    </r>
  </si>
  <si>
    <r>
      <rPr>
        <sz val="5.5"/>
        <rFont val="Tahoma"/>
        <family val="2"/>
      </rPr>
      <t xml:space="preserve">MAKO SAKAMOTO
</t>
    </r>
    <r>
      <rPr>
        <b/>
        <sz val="5.5"/>
        <rFont val="Tahoma"/>
        <family val="2"/>
      </rPr>
      <t>MAKO (L4) (S)</t>
    </r>
  </si>
  <si>
    <r>
      <rPr>
        <sz val="5.5"/>
        <color theme="1"/>
        <rFont val="Tahoma"/>
        <family val="2"/>
      </rPr>
      <t xml:space="preserve">BAEINHEE
</t>
    </r>
    <r>
      <rPr>
        <b/>
        <sz val="5.5"/>
        <color theme="1"/>
        <rFont val="Tahoma"/>
        <family val="2"/>
      </rPr>
      <t>HENRY (L5) (L)</t>
    </r>
  </si>
  <si>
    <t>M30</t>
  </si>
  <si>
    <t>LEONA</t>
  </si>
  <si>
    <r>
      <rPr>
        <sz val="5.5"/>
        <color theme="1"/>
        <rFont val="Tahoma"/>
        <family val="2"/>
      </rPr>
      <t xml:space="preserve">CHIKAMOTO YURIKO
</t>
    </r>
    <r>
      <rPr>
        <b/>
        <sz val="5.5"/>
        <color theme="1"/>
        <rFont val="Tahoma"/>
        <family val="2"/>
      </rPr>
      <t>JUDY (L4) (R)</t>
    </r>
  </si>
  <si>
    <r>
      <rPr>
        <sz val="5.5"/>
        <color theme="1"/>
        <rFont val="Tahoma"/>
        <family val="2"/>
      </rPr>
      <t xml:space="preserve">NISHIOKA KAYO
</t>
    </r>
    <r>
      <rPr>
        <b/>
        <sz val="5.5"/>
        <color theme="1"/>
        <rFont val="Tahoma"/>
        <family val="2"/>
      </rPr>
      <t>LILY (L4) (L)</t>
    </r>
  </si>
  <si>
    <t>ACADEMIC LEADER</t>
  </si>
  <si>
    <r>
      <rPr>
        <sz val="5.5"/>
        <rFont val="Tahoma"/>
        <family val="2"/>
      </rPr>
      <t>LEE JIN JOO</t>
    </r>
    <r>
      <rPr>
        <b/>
        <sz val="5.5"/>
        <rFont val="Tahoma"/>
        <family val="2"/>
      </rPr>
      <t xml:space="preserve">
CRYSTAL (L5) (W)M92</t>
    </r>
  </si>
  <si>
    <r>
      <rPr>
        <sz val="5.5"/>
        <rFont val="Tahoma"/>
        <family val="2"/>
      </rPr>
      <t xml:space="preserve">TRAN THI THUY HUONG
</t>
    </r>
    <r>
      <rPr>
        <b/>
        <sz val="5.5"/>
        <rFont val="Tahoma"/>
        <family val="2"/>
      </rPr>
      <t>LUCKY (L5) (W)M92</t>
    </r>
  </si>
  <si>
    <t>GRACE</t>
  </si>
  <si>
    <t>HENLEY</t>
  </si>
  <si>
    <r>
      <rPr>
        <sz val="5.5"/>
        <rFont val="Tahoma"/>
        <family val="2"/>
      </rPr>
      <t>LEE JIN JOO</t>
    </r>
    <r>
      <rPr>
        <b/>
        <sz val="5.5"/>
        <rFont val="Tahoma"/>
        <family val="2"/>
      </rPr>
      <t xml:space="preserve">
CRYSTAL (L4) (S) M84</t>
    </r>
  </si>
  <si>
    <r>
      <rPr>
        <sz val="5.5"/>
        <color theme="1"/>
        <rFont val="Tahoma"/>
        <family val="2"/>
      </rPr>
      <t xml:space="preserve">KIM JISU
</t>
    </r>
    <r>
      <rPr>
        <b/>
        <sz val="5.5"/>
        <color theme="1"/>
        <rFont val="Tahoma"/>
        <family val="2"/>
      </rPr>
      <t>JISU (L3) (W) M08</t>
    </r>
  </si>
  <si>
    <t>VOLUNTEER DUTY</t>
  </si>
  <si>
    <t>CAREL</t>
  </si>
  <si>
    <t>YVETTE</t>
  </si>
  <si>
    <r>
      <rPr>
        <sz val="5.5"/>
        <rFont val="Tahoma"/>
        <family val="2"/>
      </rPr>
      <t xml:space="preserve">SHIN KYUNG MI
</t>
    </r>
    <r>
      <rPr>
        <b/>
        <sz val="5.5"/>
        <color theme="1"/>
        <rFont val="Tahoma"/>
        <family val="2"/>
      </rPr>
      <t>LINA (L3) (W) M08</t>
    </r>
  </si>
  <si>
    <r>
      <rPr>
        <sz val="5.5"/>
        <rFont val="Tahoma"/>
        <family val="2"/>
      </rPr>
      <t xml:space="preserve">SHINWOOSIK
</t>
    </r>
    <r>
      <rPr>
        <b/>
        <sz val="5.5"/>
        <rFont val="Tahoma"/>
        <family val="2"/>
      </rPr>
      <t>SIK (L1) (R) YVETTE
M78</t>
    </r>
  </si>
  <si>
    <t>KATH</t>
  </si>
  <si>
    <r>
      <t xml:space="preserve">TSAI MENG HUNG
</t>
    </r>
    <r>
      <rPr>
        <b/>
        <sz val="5.5"/>
        <rFont val="Tahoma"/>
        <family val="2"/>
      </rPr>
      <t>MATT (S) M94</t>
    </r>
  </si>
  <si>
    <t>VACANT</t>
  </si>
  <si>
    <t>SSR IN-CHARGE</t>
  </si>
  <si>
    <t>ZYRA</t>
  </si>
  <si>
    <t>YZA</t>
  </si>
  <si>
    <t>KAI</t>
  </si>
  <si>
    <t>LEGEND</t>
  </si>
  <si>
    <t>READING &amp; WRITING</t>
  </si>
  <si>
    <t>LISTENING &amp; SPEAKING</t>
  </si>
  <si>
    <r>
      <rPr>
        <sz val="5.5"/>
        <rFont val="Tahoma"/>
        <family val="2"/>
      </rPr>
      <t xml:space="preserve">VU THI HOANG DUOC
</t>
    </r>
    <r>
      <rPr>
        <b/>
        <sz val="5.5"/>
        <rFont val="Tahoma"/>
        <family val="2"/>
      </rPr>
      <t>DUOC (L5) (W)
M94</t>
    </r>
  </si>
  <si>
    <r>
      <rPr>
        <sz val="5.5"/>
        <rFont val="Tahoma"/>
        <family val="2"/>
      </rPr>
      <t xml:space="preserve">JIN SEUNGHWI
</t>
    </r>
    <r>
      <rPr>
        <b/>
        <sz val="5.5"/>
        <rFont val="Tahoma"/>
        <family val="2"/>
      </rPr>
      <t>JARBAN (L4) (W) M94</t>
    </r>
  </si>
  <si>
    <r>
      <rPr>
        <sz val="5.5"/>
        <rFont val="Tahoma"/>
        <family val="2"/>
      </rPr>
      <t xml:space="preserve">LEE SE HYUN
</t>
    </r>
    <r>
      <rPr>
        <b/>
        <sz val="5.5"/>
        <rFont val="Tahoma"/>
        <family val="2"/>
      </rPr>
      <t>LEE (L4) (R)
M94</t>
    </r>
  </si>
  <si>
    <r>
      <rPr>
        <sz val="5.5"/>
        <rFont val="Tahoma"/>
        <family val="2"/>
      </rPr>
      <t xml:space="preserve">LEE NAKYEONG
</t>
    </r>
    <r>
      <rPr>
        <b/>
        <sz val="5.5"/>
        <rFont val="Tahoma"/>
        <family val="2"/>
      </rPr>
      <t>RAINA (L2) (R)
M78</t>
    </r>
  </si>
  <si>
    <r>
      <rPr>
        <sz val="5.5"/>
        <rFont val="Tahoma"/>
        <family val="2"/>
      </rPr>
      <t xml:space="preserve">KANG MINSEOK
</t>
    </r>
    <r>
      <rPr>
        <b/>
        <sz val="5.5"/>
        <rFont val="Tahoma"/>
        <family val="2"/>
      </rPr>
      <t>ALDO (L2) (W) M94</t>
    </r>
  </si>
  <si>
    <r>
      <rPr>
        <sz val="5.5"/>
        <rFont val="Tahoma"/>
        <family val="2"/>
      </rPr>
      <t xml:space="preserve">JUNG EUNJU
</t>
    </r>
    <r>
      <rPr>
        <b/>
        <sz val="5.5"/>
        <rFont val="Tahoma"/>
        <family val="2"/>
      </rPr>
      <t>AUDREY (L5) (R)
M94</t>
    </r>
  </si>
  <si>
    <r>
      <rPr>
        <sz val="5.5"/>
        <rFont val="Tahoma"/>
        <family val="2"/>
      </rPr>
      <t xml:space="preserve">VU THI HOANG DUOC
</t>
    </r>
    <r>
      <rPr>
        <b/>
        <sz val="5.5"/>
        <rFont val="Tahoma"/>
        <family val="2"/>
      </rPr>
      <t>DUOC (L5) (R)
M09</t>
    </r>
  </si>
  <si>
    <r>
      <rPr>
        <sz val="5.5"/>
        <rFont val="Tahoma"/>
        <family val="2"/>
      </rPr>
      <t xml:space="preserve">FUJITA MIHARU
</t>
    </r>
    <r>
      <rPr>
        <b/>
        <sz val="5.5"/>
        <rFont val="Tahoma"/>
        <family val="2"/>
      </rPr>
      <t>FUJI (L4) (R) M22</t>
    </r>
  </si>
  <si>
    <r>
      <rPr>
        <sz val="5.5"/>
        <rFont val="Tahoma"/>
        <family val="2"/>
      </rPr>
      <t xml:space="preserve">NAKAMURA KARIN
</t>
    </r>
    <r>
      <rPr>
        <b/>
        <sz val="5.5"/>
        <rFont val="Tahoma"/>
        <family val="2"/>
      </rPr>
      <t>KARIN (L4) (W)
M115</t>
    </r>
  </si>
  <si>
    <r>
      <rPr>
        <sz val="5.5"/>
        <rFont val="Tahoma"/>
        <family val="2"/>
      </rPr>
      <t xml:space="preserve">MINAGAWA HAYATO
</t>
    </r>
    <r>
      <rPr>
        <b/>
        <sz val="5.5"/>
        <rFont val="Tahoma"/>
        <family val="2"/>
      </rPr>
      <t xml:space="preserve">HAYA (L4) (R)
M115
</t>
    </r>
  </si>
  <si>
    <t>CALLAN GROUP CLASS</t>
  </si>
  <si>
    <r>
      <rPr>
        <sz val="5.5"/>
        <color theme="1"/>
        <rFont val="Tahoma"/>
        <family val="2"/>
      </rPr>
      <t xml:space="preserve">MIIKE YUTA
</t>
    </r>
    <r>
      <rPr>
        <b/>
        <sz val="5.5"/>
        <color theme="1"/>
        <rFont val="Tahoma"/>
        <family val="2"/>
      </rPr>
      <t>MIKE (L5)(W) JO
M115</t>
    </r>
  </si>
  <si>
    <r>
      <rPr>
        <sz val="5.5"/>
        <rFont val="Tahoma"/>
        <family val="2"/>
      </rPr>
      <t xml:space="preserve">LEE JUHUN
</t>
    </r>
    <r>
      <rPr>
        <b/>
        <sz val="5.5"/>
        <rFont val="Tahoma"/>
        <family val="2"/>
      </rPr>
      <t>ABRAHAM (L5)(W)JO M96</t>
    </r>
  </si>
  <si>
    <r>
      <rPr>
        <sz val="5.5"/>
        <color theme="1"/>
        <rFont val="Tahoma"/>
        <family val="2"/>
      </rPr>
      <t xml:space="preserve">LIN CHENG EN
</t>
    </r>
    <r>
      <rPr>
        <b/>
        <sz val="5.5"/>
        <color theme="1"/>
        <rFont val="Tahoma"/>
        <family val="2"/>
      </rPr>
      <t>JERRY LIN (L4) (W) JO M96</t>
    </r>
  </si>
  <si>
    <r>
      <rPr>
        <sz val="5.5"/>
        <rFont val="Tahoma"/>
        <family val="2"/>
      </rPr>
      <t xml:space="preserve">LEE JUHUN
</t>
    </r>
    <r>
      <rPr>
        <b/>
        <sz val="5.5"/>
        <rFont val="Tahoma"/>
        <family val="2"/>
      </rPr>
      <t xml:space="preserve">ABRAHAM (L5)(L)
JOSIE M122
</t>
    </r>
  </si>
  <si>
    <r>
      <rPr>
        <sz val="5.5"/>
        <color theme="1"/>
        <rFont val="Tahoma"/>
        <family val="2"/>
      </rPr>
      <t xml:space="preserve">BAEINHEE
</t>
    </r>
    <r>
      <rPr>
        <b/>
        <sz val="5.5"/>
        <color theme="1"/>
        <rFont val="Tahoma"/>
        <family val="2"/>
      </rPr>
      <t>HENRY (L5) (S)  M17</t>
    </r>
  </si>
  <si>
    <r>
      <rPr>
        <sz val="5.5"/>
        <rFont val="Tahoma"/>
        <family val="2"/>
      </rPr>
      <t xml:space="preserve">KITAURA AYAKA
</t>
    </r>
    <r>
      <rPr>
        <b/>
        <sz val="5.5"/>
        <rFont val="Tahoma"/>
        <family val="2"/>
      </rPr>
      <t>YAN (L4) (L) (M26)</t>
    </r>
  </si>
  <si>
    <r>
      <rPr>
        <sz val="5.5"/>
        <color theme="1"/>
        <rFont val="Tahoma"/>
        <family val="2"/>
      </rPr>
      <t xml:space="preserve">TRAN THI THUY HONG
</t>
    </r>
    <r>
      <rPr>
        <b/>
        <sz val="5.5"/>
        <color theme="1"/>
        <rFont val="Tahoma"/>
        <family val="2"/>
      </rPr>
      <t>TRAN (L2) M122</t>
    </r>
  </si>
  <si>
    <t>05:10 ~ 06:00</t>
  </si>
  <si>
    <t>GC01</t>
  </si>
  <si>
    <t>JO
CALLAN BEGINNER</t>
  </si>
  <si>
    <r>
      <rPr>
        <b/>
        <sz val="5.5"/>
        <color theme="1"/>
        <rFont val="Tahoma"/>
        <family val="2"/>
      </rPr>
      <t>RAME</t>
    </r>
    <r>
      <rPr>
        <sz val="5.5"/>
        <color theme="1"/>
        <rFont val="Tahoma"/>
        <family val="2"/>
      </rPr>
      <t xml:space="preserve">                                                               (TOEIC - GRAMMAR)</t>
    </r>
  </si>
  <si>
    <r>
      <rPr>
        <b/>
        <sz val="5.5"/>
        <color theme="1"/>
        <rFont val="Tahoma"/>
        <family val="2"/>
      </rPr>
      <t>GRACE</t>
    </r>
    <r>
      <rPr>
        <sz val="5.5"/>
        <color theme="1"/>
        <rFont val="Tahoma"/>
        <family val="2"/>
      </rPr>
      <t xml:space="preserve">                          BUSINESS ENGLISH ACTIVITY</t>
    </r>
  </si>
  <si>
    <r>
      <rPr>
        <b/>
        <sz val="5.5"/>
        <color theme="1"/>
        <rFont val="Tahoma"/>
        <family val="2"/>
      </rPr>
      <t>ROXANNE</t>
    </r>
    <r>
      <rPr>
        <sz val="5.5"/>
        <color theme="1"/>
        <rFont val="Tahoma"/>
        <family val="2"/>
      </rPr>
      <t xml:space="preserve">                                                         (TOEIC - GRAMMAR)</t>
    </r>
  </si>
  <si>
    <r>
      <rPr>
        <b/>
        <sz val="5.5"/>
        <color theme="1"/>
        <rFont val="Tahoma"/>
        <family val="2"/>
      </rPr>
      <t>FRANCIS</t>
    </r>
    <r>
      <rPr>
        <sz val="5.5"/>
        <color theme="1"/>
        <rFont val="Tahoma"/>
        <family val="2"/>
      </rPr>
      <t xml:space="preserve">                                                           (TOEIC - GRAMMAR)</t>
    </r>
  </si>
  <si>
    <t>DO NOT OCCUPY</t>
  </si>
  <si>
    <t>TOEIC CLINIC (MICHAEL)</t>
  </si>
  <si>
    <r>
      <rPr>
        <sz val="5.5"/>
        <color theme="1"/>
        <rFont val="Tahoma"/>
        <family val="2"/>
      </rPr>
      <t xml:space="preserve">HUANG ZHI HAO
</t>
    </r>
    <r>
      <rPr>
        <b/>
        <sz val="5.5"/>
        <color theme="1"/>
        <rFont val="Tahoma"/>
        <family val="2"/>
      </rPr>
      <t>HOWARD (L1)</t>
    </r>
  </si>
  <si>
    <r>
      <rPr>
        <sz val="5.5"/>
        <color theme="1"/>
        <rFont val="Tahoma"/>
        <family val="2"/>
      </rPr>
      <t xml:space="preserve">KIMEUNJUNG
</t>
    </r>
    <r>
      <rPr>
        <b/>
        <sz val="5.5"/>
        <color theme="1"/>
        <rFont val="Tahoma"/>
        <family val="2"/>
      </rPr>
      <t>MISA (L3)</t>
    </r>
  </si>
  <si>
    <r>
      <rPr>
        <sz val="5.5"/>
        <color theme="1"/>
        <rFont val="Tahoma"/>
        <family val="2"/>
      </rPr>
      <t xml:space="preserve">ALZAHRANI, ABDULRAHMAN 
</t>
    </r>
    <r>
      <rPr>
        <b/>
        <sz val="5.5"/>
        <color theme="1"/>
        <rFont val="Tahoma"/>
        <family val="2"/>
      </rPr>
      <t>ALBERT (L3)</t>
    </r>
  </si>
  <si>
    <r>
      <rPr>
        <sz val="5.5"/>
        <color theme="1"/>
        <rFont val="Tahoma"/>
        <family val="2"/>
      </rPr>
      <t xml:space="preserve">JANG BOYOUNG
</t>
    </r>
    <r>
      <rPr>
        <b/>
        <sz val="5.5"/>
        <color theme="1"/>
        <rFont val="Tahoma"/>
        <family val="2"/>
      </rPr>
      <t>RAILY (L4)</t>
    </r>
  </si>
  <si>
    <r>
      <rPr>
        <sz val="5.5"/>
        <rFont val="Tahoma"/>
        <family val="2"/>
      </rPr>
      <t xml:space="preserve">WATANABE CHIE
</t>
    </r>
    <r>
      <rPr>
        <b/>
        <sz val="5.5"/>
        <rFont val="Tahoma"/>
        <family val="2"/>
      </rPr>
      <t>CHI (L2)</t>
    </r>
  </si>
  <si>
    <r>
      <rPr>
        <sz val="5.5"/>
        <color theme="1"/>
        <rFont val="Tahoma"/>
        <family val="2"/>
      </rPr>
      <t xml:space="preserve">SHIOKAWA RIHO
</t>
    </r>
    <r>
      <rPr>
        <b/>
        <sz val="5.5"/>
        <color theme="1"/>
        <rFont val="Tahoma"/>
        <family val="2"/>
      </rPr>
      <t>RIHO (L4)</t>
    </r>
  </si>
  <si>
    <r>
      <rPr>
        <sz val="5.5"/>
        <color theme="1"/>
        <rFont val="Tahoma"/>
        <family val="2"/>
      </rPr>
      <t>HYUNJUNG KIM</t>
    </r>
    <r>
      <rPr>
        <b/>
        <sz val="5.5"/>
        <color theme="1"/>
        <rFont val="Tahoma"/>
        <family val="2"/>
      </rPr>
      <t xml:space="preserve">
SISTINA (l4)</t>
    </r>
  </si>
  <si>
    <r>
      <rPr>
        <sz val="5.5"/>
        <color theme="1"/>
        <rFont val="Tahoma"/>
        <family val="2"/>
      </rPr>
      <t>PARK CHAEEUN</t>
    </r>
    <r>
      <rPr>
        <b/>
        <sz val="5.5"/>
        <color theme="1"/>
        <rFont val="Tahoma"/>
        <family val="2"/>
      </rPr>
      <t xml:space="preserve">
VELY (L3) </t>
    </r>
  </si>
  <si>
    <t>STAFF-HENRY</t>
  </si>
  <si>
    <t>CON.B</t>
  </si>
  <si>
    <r>
      <rPr>
        <b/>
        <sz val="5.5"/>
        <color theme="1"/>
        <rFont val="Tahoma"/>
        <family val="2"/>
      </rPr>
      <t>LURA</t>
    </r>
    <r>
      <rPr>
        <sz val="5.5"/>
        <color theme="1"/>
        <rFont val="Tahoma"/>
        <family val="2"/>
      </rPr>
      <t xml:space="preserve">                             </t>
    </r>
    <r>
      <rPr>
        <b/>
        <sz val="5.5"/>
        <color theme="1"/>
        <rFont val="Tahoma"/>
        <family val="2"/>
      </rPr>
      <t>(ENGLISH IN COMMMON 2) - L2/L3</t>
    </r>
  </si>
  <si>
    <r>
      <rPr>
        <b/>
        <sz val="5.5"/>
        <color theme="1"/>
        <rFont val="Tahoma"/>
        <family val="2"/>
      </rPr>
      <t xml:space="preserve">JAMES
</t>
    </r>
    <r>
      <rPr>
        <sz val="5.5"/>
        <color theme="1"/>
        <rFont val="Tahoma"/>
        <family val="2"/>
      </rPr>
      <t xml:space="preserve">      </t>
    </r>
    <r>
      <rPr>
        <b/>
        <sz val="5.5"/>
        <color theme="1"/>
        <rFont val="Tahoma"/>
        <family val="2"/>
      </rPr>
      <t xml:space="preserve"> (INTERCHANGE 2)  -L5</t>
    </r>
  </si>
  <si>
    <r>
      <rPr>
        <b/>
        <sz val="5.5"/>
        <color theme="1"/>
        <rFont val="Tahoma"/>
        <family val="2"/>
      </rPr>
      <t>FRANCIS</t>
    </r>
    <r>
      <rPr>
        <sz val="5.5"/>
        <color theme="1"/>
        <rFont val="Tahoma"/>
        <family val="2"/>
      </rPr>
      <t xml:space="preserve">                                                 
</t>
    </r>
    <r>
      <rPr>
        <b/>
        <sz val="5.5"/>
        <color theme="1"/>
        <rFont val="Tahoma"/>
        <family val="2"/>
      </rPr>
      <t xml:space="preserve"> (IMPACT TOPICS) -L6</t>
    </r>
  </si>
  <si>
    <r>
      <rPr>
        <b/>
        <sz val="5.5"/>
        <color theme="1"/>
        <rFont val="Tahoma"/>
        <family val="2"/>
      </rPr>
      <t>RUTH</t>
    </r>
    <r>
      <rPr>
        <sz val="5.5"/>
        <color theme="1"/>
        <rFont val="Tahoma"/>
        <family val="2"/>
      </rPr>
      <t xml:space="preserve">          
</t>
    </r>
    <r>
      <rPr>
        <b/>
        <sz val="5.5"/>
        <color theme="1"/>
        <rFont val="Tahoma"/>
        <family val="2"/>
      </rPr>
      <t xml:space="preserve"> (INTERCHANGE 3) - L6</t>
    </r>
  </si>
  <si>
    <r>
      <rPr>
        <b/>
        <sz val="5.5"/>
        <color theme="1"/>
        <rFont val="Tahoma"/>
        <family val="2"/>
      </rPr>
      <t>GERA</t>
    </r>
    <r>
      <rPr>
        <sz val="5.5"/>
        <color theme="1"/>
        <rFont val="Tahoma"/>
        <family val="2"/>
      </rPr>
      <t xml:space="preserve">
</t>
    </r>
    <r>
      <rPr>
        <b/>
        <sz val="5.5"/>
        <color theme="1"/>
        <rFont val="Tahoma"/>
        <family val="2"/>
      </rPr>
      <t>(TOUCHSTONE 2)- L5</t>
    </r>
  </si>
  <si>
    <t>TOEIC CLINIC (NINO)</t>
  </si>
  <si>
    <r>
      <rPr>
        <sz val="5.5"/>
        <color theme="1"/>
        <rFont val="Tahoma"/>
        <family val="2"/>
      </rPr>
      <t xml:space="preserve">CHEN CHING TING
</t>
    </r>
    <r>
      <rPr>
        <b/>
        <sz val="5.5"/>
        <color theme="1"/>
        <rFont val="Tahoma"/>
        <family val="2"/>
      </rPr>
      <t>FION CHEN (L3)</t>
    </r>
  </si>
  <si>
    <r>
      <rPr>
        <sz val="5.5"/>
        <color theme="1"/>
        <rFont val="Tahoma"/>
        <family val="2"/>
      </rPr>
      <t xml:space="preserve">HA MANWOONG
</t>
    </r>
    <r>
      <rPr>
        <b/>
        <sz val="5.5"/>
        <color theme="1"/>
        <rFont val="Tahoma"/>
        <family val="2"/>
      </rPr>
      <t>ALEX (L5)</t>
    </r>
  </si>
  <si>
    <r>
      <rPr>
        <sz val="5.5"/>
        <color theme="1"/>
        <rFont val="Tahoma"/>
        <family val="2"/>
      </rPr>
      <t xml:space="preserve">MINJI KANG
</t>
    </r>
    <r>
      <rPr>
        <b/>
        <sz val="5.5"/>
        <color theme="1"/>
        <rFont val="Tahoma"/>
        <family val="2"/>
      </rPr>
      <t>JENNA (L6)</t>
    </r>
  </si>
  <si>
    <r>
      <rPr>
        <sz val="5.5"/>
        <color theme="1"/>
        <rFont val="Tahoma"/>
        <family val="2"/>
      </rPr>
      <t xml:space="preserve">NAKAMURA MASAYA
</t>
    </r>
    <r>
      <rPr>
        <b/>
        <sz val="5.5"/>
        <color theme="1"/>
        <rFont val="Tahoma"/>
        <family val="2"/>
      </rPr>
      <t>MASA (L6)</t>
    </r>
  </si>
  <si>
    <r>
      <rPr>
        <sz val="5.5"/>
        <rFont val="Tahoma"/>
        <family val="2"/>
      </rPr>
      <t>ERIKA KAKUTA</t>
    </r>
    <r>
      <rPr>
        <b/>
        <sz val="5.5"/>
        <rFont val="Tahoma"/>
        <family val="2"/>
      </rPr>
      <t xml:space="preserve">
ERIKA </t>
    </r>
  </si>
  <si>
    <r>
      <rPr>
        <sz val="5.5"/>
        <rFont val="Tahoma"/>
        <family val="2"/>
      </rPr>
      <t xml:space="preserve">KANG YUMI
</t>
    </r>
    <r>
      <rPr>
        <b/>
        <sz val="5.5"/>
        <rFont val="Tahoma"/>
        <family val="2"/>
      </rPr>
      <t xml:space="preserve">YUMI (L1) </t>
    </r>
  </si>
  <si>
    <r>
      <rPr>
        <sz val="5.5"/>
        <rFont val="Tahoma"/>
        <family val="2"/>
      </rPr>
      <t xml:space="preserve">HSU WEI CHENG
</t>
    </r>
    <r>
      <rPr>
        <b/>
        <sz val="5.5"/>
        <rFont val="Tahoma"/>
        <family val="2"/>
      </rPr>
      <t xml:space="preserve">CHENG (L1) </t>
    </r>
  </si>
  <si>
    <r>
      <rPr>
        <sz val="5.5"/>
        <color theme="1"/>
        <rFont val="Tahoma"/>
        <family val="2"/>
      </rPr>
      <t xml:space="preserve">MIIKE YUTA
</t>
    </r>
    <r>
      <rPr>
        <b/>
        <sz val="5.5"/>
        <color theme="1"/>
        <rFont val="Tahoma"/>
        <family val="2"/>
      </rPr>
      <t>MIKE (L5)</t>
    </r>
  </si>
  <si>
    <r>
      <rPr>
        <sz val="5.5"/>
        <color theme="1"/>
        <rFont val="Tahoma"/>
        <family val="2"/>
      </rPr>
      <t>IM KIYEONG</t>
    </r>
    <r>
      <rPr>
        <b/>
        <sz val="5.5"/>
        <color theme="1"/>
        <rFont val="Tahoma"/>
        <family val="2"/>
      </rPr>
      <t xml:space="preserve">
JOHN MICHAEL (L5)</t>
    </r>
  </si>
  <si>
    <r>
      <rPr>
        <sz val="5.5"/>
        <rFont val="Tahoma"/>
        <family val="2"/>
      </rPr>
      <t xml:space="preserve">HOU CHI HONG
</t>
    </r>
    <r>
      <rPr>
        <b/>
        <sz val="5.5"/>
        <rFont val="Tahoma"/>
        <family val="2"/>
      </rPr>
      <t xml:space="preserve">MATT HOU (L5) </t>
    </r>
  </si>
  <si>
    <r>
      <rPr>
        <sz val="5.5"/>
        <rFont val="Tahoma"/>
        <family val="2"/>
      </rPr>
      <t xml:space="preserve">VU THI HOANG DUOC
</t>
    </r>
    <r>
      <rPr>
        <b/>
        <sz val="5.5"/>
        <rFont val="Tahoma"/>
        <family val="2"/>
      </rPr>
      <t>DUOC (L5)</t>
    </r>
  </si>
  <si>
    <r>
      <rPr>
        <sz val="5.5"/>
        <rFont val="Tahoma"/>
        <family val="2"/>
      </rPr>
      <t xml:space="preserve">LEE JOU HWAN
</t>
    </r>
    <r>
      <rPr>
        <b/>
        <sz val="5.5"/>
        <rFont val="Tahoma"/>
        <family val="2"/>
      </rPr>
      <t xml:space="preserve">JU (L5) </t>
    </r>
  </si>
  <si>
    <r>
      <rPr>
        <sz val="5.5"/>
        <rFont val="Tahoma"/>
        <family val="2"/>
      </rPr>
      <t xml:space="preserve">YASUMATSU HANAKO
</t>
    </r>
    <r>
      <rPr>
        <b/>
        <sz val="5.5"/>
        <rFont val="Tahoma"/>
        <family val="2"/>
      </rPr>
      <t xml:space="preserve">HANAKO (L6) </t>
    </r>
  </si>
  <si>
    <t>GC02</t>
  </si>
  <si>
    <r>
      <rPr>
        <b/>
        <sz val="5.5"/>
        <color theme="1"/>
        <rFont val="Tahoma"/>
        <family val="2"/>
      </rPr>
      <t>MICHAEL</t>
    </r>
    <r>
      <rPr>
        <sz val="5.5"/>
        <color theme="1"/>
        <rFont val="Tahoma"/>
        <family val="2"/>
      </rPr>
      <t xml:space="preserve">
</t>
    </r>
    <r>
      <rPr>
        <b/>
        <sz val="5.5"/>
        <color theme="1"/>
        <rFont val="Tahoma"/>
        <family val="2"/>
      </rPr>
      <t>(INTERCHANGE 2) - L4</t>
    </r>
  </si>
  <si>
    <r>
      <rPr>
        <b/>
        <sz val="5.5"/>
        <color theme="1"/>
        <rFont val="Tahoma"/>
        <family val="2"/>
      </rPr>
      <t>NADINE</t>
    </r>
    <r>
      <rPr>
        <sz val="5.5"/>
        <color theme="1"/>
        <rFont val="Tahoma"/>
        <family val="2"/>
      </rPr>
      <t xml:space="preserve">                                                   (TOEIC - VOCA)</t>
    </r>
  </si>
  <si>
    <r>
      <rPr>
        <b/>
        <sz val="5.5"/>
        <color theme="1"/>
        <rFont val="Tahoma"/>
        <family val="2"/>
      </rPr>
      <t xml:space="preserve">NINO
</t>
    </r>
    <r>
      <rPr>
        <sz val="5.5"/>
        <color theme="1"/>
        <rFont val="Tahoma"/>
        <family val="2"/>
      </rPr>
      <t xml:space="preserve"> (TOEIC - VOCA)</t>
    </r>
  </si>
  <si>
    <r>
      <rPr>
        <b/>
        <sz val="5.5"/>
        <color theme="1"/>
        <rFont val="Tahoma"/>
        <family val="2"/>
      </rPr>
      <t>FRANCIS</t>
    </r>
    <r>
      <rPr>
        <sz val="5.5"/>
        <color theme="1"/>
        <rFont val="Tahoma"/>
        <family val="2"/>
      </rPr>
      <t xml:space="preserve"> </t>
    </r>
    <r>
      <rPr>
        <b/>
        <sz val="5.5"/>
        <color theme="1"/>
        <rFont val="Tahoma"/>
        <family val="2"/>
      </rPr>
      <t>(ENGLISH IN COMMMON 3) - L4</t>
    </r>
  </si>
  <si>
    <r>
      <rPr>
        <b/>
        <sz val="5.5"/>
        <color theme="1"/>
        <rFont val="Tahoma"/>
        <family val="2"/>
      </rPr>
      <t>RAME</t>
    </r>
    <r>
      <rPr>
        <sz val="5.5"/>
        <color theme="1"/>
        <rFont val="Tahoma"/>
        <family val="2"/>
      </rPr>
      <t xml:space="preserve">                                           (TOEIC - VOCA)</t>
    </r>
  </si>
  <si>
    <r>
      <rPr>
        <b/>
        <sz val="5.5"/>
        <color theme="1"/>
        <rFont val="Tahoma"/>
        <family val="2"/>
      </rPr>
      <t xml:space="preserve">NADINE
</t>
    </r>
    <r>
      <rPr>
        <sz val="5.5"/>
        <color theme="1"/>
        <rFont val="Tahoma"/>
        <family val="2"/>
      </rPr>
      <t>(TOEIC- GRAMMAR)</t>
    </r>
  </si>
  <si>
    <t>TOEIC CLINIC (ROSE)</t>
  </si>
  <si>
    <r>
      <rPr>
        <sz val="5.5"/>
        <color theme="1"/>
        <rFont val="Tahoma"/>
        <family val="2"/>
      </rPr>
      <t>HATORI</t>
    </r>
    <r>
      <rPr>
        <sz val="5.5"/>
        <color theme="1"/>
        <rFont val="SimSun"/>
      </rPr>
      <t>　</t>
    </r>
    <r>
      <rPr>
        <sz val="5.5"/>
        <color theme="1"/>
        <rFont val="Tahoma"/>
        <family val="2"/>
      </rPr>
      <t xml:space="preserve">YUKA
</t>
    </r>
    <r>
      <rPr>
        <b/>
        <sz val="5.5"/>
        <color theme="1"/>
        <rFont val="Tahoma"/>
        <family val="2"/>
      </rPr>
      <t>YUKA (L4)</t>
    </r>
  </si>
  <si>
    <r>
      <rPr>
        <sz val="5.5"/>
        <color theme="1"/>
        <rFont val="Tahoma"/>
        <family val="2"/>
      </rPr>
      <t xml:space="preserve">KITA AKANE
</t>
    </r>
    <r>
      <rPr>
        <b/>
        <sz val="5.5"/>
        <color theme="1"/>
        <rFont val="Tahoma"/>
        <family val="2"/>
      </rPr>
      <t>AKA (L4)</t>
    </r>
  </si>
  <si>
    <r>
      <rPr>
        <sz val="5.5"/>
        <color theme="1"/>
        <rFont val="Tahoma"/>
        <family val="2"/>
      </rPr>
      <t xml:space="preserve">HSU CHAO CHIA
</t>
    </r>
    <r>
      <rPr>
        <b/>
        <sz val="5.5"/>
        <color theme="1"/>
        <rFont val="Tahoma"/>
        <family val="2"/>
      </rPr>
      <t>JACK (L4)</t>
    </r>
  </si>
  <si>
    <r>
      <rPr>
        <sz val="5.5"/>
        <rFont val="Tahoma"/>
        <family val="2"/>
      </rPr>
      <t xml:space="preserve">KITAURA AYAKA
</t>
    </r>
    <r>
      <rPr>
        <b/>
        <sz val="5.5"/>
        <rFont val="Tahoma"/>
        <family val="2"/>
      </rPr>
      <t>YAN (L4)</t>
    </r>
  </si>
  <si>
    <r>
      <rPr>
        <sz val="5.5"/>
        <color theme="1"/>
        <rFont val="Tahoma"/>
        <family val="2"/>
      </rPr>
      <t xml:space="preserve">KIMJIHYE
</t>
    </r>
    <r>
      <rPr>
        <b/>
        <sz val="5.5"/>
        <color theme="1"/>
        <rFont val="Tahoma"/>
        <family val="2"/>
      </rPr>
      <t>JEA JEA (L4)</t>
    </r>
  </si>
  <si>
    <r>
      <rPr>
        <sz val="5.5"/>
        <color theme="1"/>
        <rFont val="Tahoma"/>
        <family val="2"/>
      </rPr>
      <t xml:space="preserve">JANG SUNG YEOB
</t>
    </r>
    <r>
      <rPr>
        <b/>
        <sz val="5.5"/>
        <color theme="1"/>
        <rFont val="Tahoma"/>
        <family val="2"/>
      </rPr>
      <t>JACOB</t>
    </r>
  </si>
  <si>
    <r>
      <rPr>
        <sz val="5.5"/>
        <color theme="1"/>
        <rFont val="Tahoma"/>
        <family val="2"/>
      </rPr>
      <t xml:space="preserve">YUN HYEONWOONG
</t>
    </r>
    <r>
      <rPr>
        <b/>
        <sz val="5.5"/>
        <color theme="1"/>
        <rFont val="Tahoma"/>
        <family val="2"/>
      </rPr>
      <t xml:space="preserve">HESSER (L3) </t>
    </r>
  </si>
  <si>
    <r>
      <rPr>
        <sz val="5.5"/>
        <rFont val="Tahoma"/>
        <family val="2"/>
      </rPr>
      <t xml:space="preserve">NGUYEN THI TU TRINH
</t>
    </r>
    <r>
      <rPr>
        <b/>
        <sz val="5.5"/>
        <rFont val="Tahoma"/>
        <family val="2"/>
      </rPr>
      <t xml:space="preserve">TRINH (L4) </t>
    </r>
  </si>
  <si>
    <t>GC03</t>
  </si>
  <si>
    <r>
      <rPr>
        <b/>
        <sz val="5.5"/>
        <color theme="1"/>
        <rFont val="Tahoma"/>
        <family val="2"/>
      </rPr>
      <t>MONS</t>
    </r>
    <r>
      <rPr>
        <sz val="5.5"/>
        <color theme="1"/>
        <rFont val="Tahoma"/>
        <family val="2"/>
      </rPr>
      <t xml:space="preserve">                 </t>
    </r>
    <r>
      <rPr>
        <b/>
        <sz val="5.5"/>
        <color theme="1"/>
        <rFont val="Tahoma"/>
        <family val="2"/>
      </rPr>
      <t>(INTERCHANGE 2) - L4</t>
    </r>
  </si>
  <si>
    <r>
      <rPr>
        <b/>
        <sz val="5.5"/>
        <color theme="1"/>
        <rFont val="Tahoma"/>
        <family val="2"/>
      </rPr>
      <t>ROXANNE</t>
    </r>
    <r>
      <rPr>
        <sz val="5.5"/>
        <color theme="1"/>
        <rFont val="Tahoma"/>
        <family val="2"/>
      </rPr>
      <t xml:space="preserve">                   
</t>
    </r>
    <r>
      <rPr>
        <b/>
        <sz val="5.5"/>
        <color theme="1"/>
        <rFont val="Tahoma"/>
        <family val="2"/>
      </rPr>
      <t>(TOUCHSTONE 2) - L5</t>
    </r>
  </si>
  <si>
    <r>
      <rPr>
        <b/>
        <sz val="5.5"/>
        <color theme="1"/>
        <rFont val="Tahoma"/>
        <family val="2"/>
      </rPr>
      <t>APRIL</t>
    </r>
    <r>
      <rPr>
        <sz val="5.5"/>
        <color theme="1"/>
        <rFont val="Tahoma"/>
        <family val="2"/>
      </rPr>
      <t xml:space="preserve">                               </t>
    </r>
    <r>
      <rPr>
        <b/>
        <sz val="5.5"/>
        <color theme="1"/>
        <rFont val="Tahoma"/>
        <family val="2"/>
      </rPr>
      <t xml:space="preserve"> (INTERCHANGE 1) - L2-L3</t>
    </r>
  </si>
  <si>
    <r>
      <rPr>
        <b/>
        <sz val="5.5"/>
        <color theme="1"/>
        <rFont val="Tahoma"/>
        <family val="2"/>
      </rPr>
      <t>SHYR</t>
    </r>
    <r>
      <rPr>
        <sz val="5.5"/>
        <color theme="1"/>
        <rFont val="Tahoma"/>
        <family val="2"/>
      </rPr>
      <t xml:space="preserve">
</t>
    </r>
    <r>
      <rPr>
        <b/>
        <sz val="5.5"/>
        <color theme="1"/>
        <rFont val="Tahoma"/>
        <family val="2"/>
      </rPr>
      <t xml:space="preserve"> (INTERCHANGE 3) - L7</t>
    </r>
  </si>
  <si>
    <r>
      <rPr>
        <b/>
        <sz val="5.5"/>
        <color rgb="FF000000"/>
        <rFont val="Tahoma"/>
        <family val="2"/>
      </rPr>
      <t>FRANCIS</t>
    </r>
    <r>
      <rPr>
        <sz val="5.5"/>
        <color rgb="FF000000"/>
        <rFont val="Tahoma"/>
        <family val="2"/>
      </rPr>
      <t xml:space="preserve">                                                       (TOEIC - GRAMMAR)</t>
    </r>
  </si>
  <si>
    <r>
      <rPr>
        <b/>
        <sz val="5.5"/>
        <color theme="1"/>
        <rFont val="Tahoma"/>
        <family val="2"/>
      </rPr>
      <t xml:space="preserve">GENEVEB
</t>
    </r>
    <r>
      <rPr>
        <sz val="5.5"/>
        <color theme="1"/>
        <rFont val="Tahoma"/>
        <family val="2"/>
      </rPr>
      <t>(TOEIC VOCA)</t>
    </r>
  </si>
  <si>
    <t>TOEIC CLINIC 
(LILIBETH)</t>
  </si>
  <si>
    <r>
      <rPr>
        <sz val="5.5"/>
        <color theme="1"/>
        <rFont val="Tahoma"/>
        <family val="2"/>
      </rPr>
      <t xml:space="preserve">CHIKAMOTO YURIKO
</t>
    </r>
    <r>
      <rPr>
        <b/>
        <sz val="5.5"/>
        <color theme="1"/>
        <rFont val="Tahoma"/>
        <family val="2"/>
      </rPr>
      <t>JUDY (L4)</t>
    </r>
  </si>
  <si>
    <r>
      <rPr>
        <sz val="5.5"/>
        <color theme="1"/>
        <rFont val="Tahoma"/>
        <family val="2"/>
      </rPr>
      <t xml:space="preserve">GU LIN HUI
</t>
    </r>
    <r>
      <rPr>
        <b/>
        <sz val="5.5"/>
        <color theme="1"/>
        <rFont val="Tahoma"/>
        <family val="2"/>
      </rPr>
      <t>AMY GU (L5)</t>
    </r>
  </si>
  <si>
    <r>
      <rPr>
        <sz val="5.5"/>
        <color theme="1"/>
        <rFont val="Tahoma"/>
        <family val="2"/>
      </rPr>
      <t xml:space="preserve">YU TSUNG YEH
</t>
    </r>
    <r>
      <rPr>
        <b/>
        <sz val="5.5"/>
        <color theme="1"/>
        <rFont val="Tahoma"/>
        <family val="2"/>
      </rPr>
      <t>MARK (L6)</t>
    </r>
  </si>
  <si>
    <r>
      <rPr>
        <sz val="5.5"/>
        <color theme="1"/>
        <rFont val="Tahoma"/>
        <family val="2"/>
      </rPr>
      <t xml:space="preserve">KIM MINJUN
</t>
    </r>
    <r>
      <rPr>
        <b/>
        <sz val="5.5"/>
        <color theme="1"/>
        <rFont val="Tahoma"/>
        <family val="2"/>
      </rPr>
      <t>TONY (L5)</t>
    </r>
  </si>
  <si>
    <r>
      <rPr>
        <sz val="5.5"/>
        <color theme="1"/>
        <rFont val="Tahoma"/>
        <family val="2"/>
      </rPr>
      <t xml:space="preserve">LEE RYUN HO
</t>
    </r>
    <r>
      <rPr>
        <b/>
        <sz val="5.5"/>
        <color theme="1"/>
        <rFont val="Tahoma"/>
        <family val="2"/>
      </rPr>
      <t>RYAN (L6)</t>
    </r>
  </si>
  <si>
    <r>
      <rPr>
        <sz val="5.5"/>
        <rFont val="Tahoma"/>
        <family val="2"/>
      </rPr>
      <t xml:space="preserve">NAKAMURA KARIN
</t>
    </r>
    <r>
      <rPr>
        <b/>
        <sz val="5.5"/>
        <rFont val="Tahoma"/>
        <family val="2"/>
      </rPr>
      <t xml:space="preserve">KARIN (L4) </t>
    </r>
  </si>
  <si>
    <r>
      <rPr>
        <sz val="5.5"/>
        <color theme="1"/>
        <rFont val="Tahoma"/>
        <family val="2"/>
      </rPr>
      <t xml:space="preserve">KAWAGUCHI KIYOTO
</t>
    </r>
    <r>
      <rPr>
        <b/>
        <sz val="5.5"/>
        <color theme="1"/>
        <rFont val="Tahoma"/>
        <family val="2"/>
      </rPr>
      <t>KIYO (L6)</t>
    </r>
  </si>
  <si>
    <r>
      <rPr>
        <sz val="5.5"/>
        <rFont val="Tahoma"/>
        <family val="2"/>
      </rPr>
      <t xml:space="preserve">HOU YI RU
</t>
    </r>
    <r>
      <rPr>
        <b/>
        <sz val="5.5"/>
        <rFont val="Tahoma"/>
        <family val="2"/>
      </rPr>
      <t xml:space="preserve">JOANNE(L5) </t>
    </r>
  </si>
  <si>
    <r>
      <rPr>
        <sz val="5.5"/>
        <color theme="1"/>
        <rFont val="Tahoma"/>
        <family val="2"/>
      </rPr>
      <t xml:space="preserve">ABDULMALEK OMAR
</t>
    </r>
    <r>
      <rPr>
        <b/>
        <sz val="5.5"/>
        <color theme="1"/>
        <rFont val="Tahoma"/>
        <family val="2"/>
      </rPr>
      <t>MALEK (L3)</t>
    </r>
  </si>
  <si>
    <r>
      <rPr>
        <sz val="5.5"/>
        <rFont val="Tahoma"/>
        <family val="2"/>
      </rPr>
      <t xml:space="preserve">SATO YURIKA
</t>
    </r>
    <r>
      <rPr>
        <b/>
        <sz val="5.5"/>
        <rFont val="Tahoma"/>
        <family val="2"/>
      </rPr>
      <t xml:space="preserve">YURI (L3) </t>
    </r>
  </si>
  <si>
    <r>
      <rPr>
        <sz val="5.5"/>
        <color theme="1"/>
        <rFont val="Tahoma"/>
        <family val="2"/>
      </rPr>
      <t xml:space="preserve">KIMTAEYEONG
</t>
    </r>
    <r>
      <rPr>
        <b/>
        <sz val="5.5"/>
        <color theme="1"/>
        <rFont val="Tahoma"/>
        <family val="2"/>
      </rPr>
      <t>WALDORF (L2)</t>
    </r>
  </si>
  <si>
    <r>
      <rPr>
        <sz val="5.5"/>
        <color theme="1"/>
        <rFont val="Tahoma"/>
        <family val="2"/>
      </rPr>
      <t xml:space="preserve">CHENG YU HSUAN
</t>
    </r>
    <r>
      <rPr>
        <b/>
        <sz val="5.5"/>
        <color theme="1"/>
        <rFont val="Tahoma"/>
        <family val="2"/>
      </rPr>
      <t>CAROL (L3)</t>
    </r>
  </si>
  <si>
    <t>GC08</t>
  </si>
  <si>
    <r>
      <rPr>
        <b/>
        <sz val="5.5"/>
        <color theme="1"/>
        <rFont val="Tahoma"/>
        <family val="2"/>
      </rPr>
      <t>SHIENA</t>
    </r>
    <r>
      <rPr>
        <sz val="5.5"/>
        <color theme="1"/>
        <rFont val="Tahoma"/>
        <family val="2"/>
      </rPr>
      <t xml:space="preserve">                                             (INTERCHANGE 3) -L6</t>
    </r>
  </si>
  <si>
    <t>YVETTE                         
TOUCHSTONE 1) - L2-L3</t>
  </si>
  <si>
    <t>YVETTE                         
(NCE INTERMEDIATE) - L6</t>
  </si>
  <si>
    <r>
      <rPr>
        <b/>
        <sz val="5.5"/>
        <color theme="1"/>
        <rFont val="Tahoma"/>
        <family val="2"/>
      </rPr>
      <t xml:space="preserve">YVETTE             
</t>
    </r>
    <r>
      <rPr>
        <sz val="5.5"/>
        <color theme="1"/>
        <rFont val="Tahoma"/>
        <family val="2"/>
      </rPr>
      <t xml:space="preserve"> </t>
    </r>
    <r>
      <rPr>
        <b/>
        <sz val="5.5"/>
        <color theme="1"/>
        <rFont val="Tahoma"/>
        <family val="2"/>
      </rPr>
      <t>(INTERCHANGE 2) - L5</t>
    </r>
  </si>
  <si>
    <t>YVETTE
 (TOUCHSTONE 1) -L3</t>
  </si>
  <si>
    <r>
      <rPr>
        <b/>
        <sz val="5.5"/>
        <color theme="1"/>
        <rFont val="Tahoma"/>
        <family val="2"/>
      </rPr>
      <t>MELISSA</t>
    </r>
    <r>
      <rPr>
        <sz val="5.5"/>
        <color theme="1"/>
        <rFont val="Tahoma"/>
        <family val="2"/>
      </rPr>
      <t xml:space="preserve">                          </t>
    </r>
    <r>
      <rPr>
        <b/>
        <sz val="5.5"/>
        <color theme="1"/>
        <rFont val="Tahoma"/>
        <family val="2"/>
      </rPr>
      <t>(TOUCHSTONE 1) - L2-L3</t>
    </r>
  </si>
  <si>
    <r>
      <rPr>
        <b/>
        <sz val="5.5"/>
        <color theme="1"/>
        <rFont val="Tahoma"/>
        <family val="2"/>
      </rPr>
      <t>JOHN</t>
    </r>
    <r>
      <rPr>
        <sz val="5.5"/>
        <color theme="1"/>
        <rFont val="Tahoma"/>
        <family val="2"/>
      </rPr>
      <t xml:space="preserve">
</t>
    </r>
    <r>
      <rPr>
        <b/>
        <sz val="5.5"/>
        <color theme="1"/>
        <rFont val="Tahoma"/>
        <family val="2"/>
      </rPr>
      <t>(INTERCHANGE 2) - L4</t>
    </r>
  </si>
  <si>
    <r>
      <rPr>
        <b/>
        <sz val="5.5"/>
        <color theme="1"/>
        <rFont val="Tahoma"/>
        <family val="2"/>
      </rPr>
      <t>LURA</t>
    </r>
    <r>
      <rPr>
        <sz val="5.5"/>
        <color theme="1"/>
        <rFont val="Tahoma"/>
        <family val="2"/>
      </rPr>
      <t xml:space="preserve">                        </t>
    </r>
    <r>
      <rPr>
        <b/>
        <sz val="5.5"/>
        <color theme="1"/>
        <rFont val="Tahoma"/>
        <family val="2"/>
      </rPr>
      <t>(TOUCHSTONE 2) - L4</t>
    </r>
  </si>
  <si>
    <t>TOEIC CLINIC (RINE)</t>
  </si>
  <si>
    <r>
      <rPr>
        <sz val="5.5"/>
        <color theme="1"/>
        <rFont val="Tahoma"/>
        <family val="2"/>
      </rPr>
      <t xml:space="preserve">LEE SIJUNE
</t>
    </r>
    <r>
      <rPr>
        <b/>
        <sz val="5.5"/>
        <color theme="1"/>
        <rFont val="Tahoma"/>
        <family val="2"/>
      </rPr>
      <t>SIJUNE (L5)</t>
    </r>
  </si>
  <si>
    <r>
      <rPr>
        <sz val="5.5"/>
        <color theme="1"/>
        <rFont val="Tahoma"/>
        <family val="2"/>
      </rPr>
      <t xml:space="preserve">LYDARYE
</t>
    </r>
    <r>
      <rPr>
        <b/>
        <sz val="5.5"/>
        <color theme="1"/>
        <rFont val="Tahoma"/>
        <family val="2"/>
      </rPr>
      <t>SELINA (L2)</t>
    </r>
  </si>
  <si>
    <r>
      <rPr>
        <sz val="5.5"/>
        <rFont val="Tahoma"/>
        <family val="2"/>
      </rPr>
      <t xml:space="preserve">MISUMI AKI
</t>
    </r>
    <r>
      <rPr>
        <b/>
        <sz val="5.5"/>
        <rFont val="Tahoma"/>
        <family val="2"/>
      </rPr>
      <t xml:space="preserve">AKI (L4) (L) </t>
    </r>
  </si>
  <si>
    <r>
      <rPr>
        <sz val="5.5"/>
        <color theme="1"/>
        <rFont val="Tahoma"/>
        <family val="2"/>
      </rPr>
      <t xml:space="preserve">SUZUKI RYUSEI
</t>
    </r>
    <r>
      <rPr>
        <b/>
        <sz val="5.5"/>
        <color theme="1"/>
        <rFont val="Tahoma"/>
        <family val="2"/>
      </rPr>
      <t>RYU (L2)</t>
    </r>
  </si>
  <si>
    <r>
      <rPr>
        <sz val="5.5"/>
        <rFont val="Tahoma"/>
        <family val="2"/>
      </rPr>
      <t xml:space="preserve">LEE YOUNGSOO
</t>
    </r>
    <r>
      <rPr>
        <b/>
        <sz val="5.5"/>
        <rFont val="Tahoma"/>
        <family val="2"/>
      </rPr>
      <t xml:space="preserve">MARTIN (L6) </t>
    </r>
  </si>
  <si>
    <r>
      <rPr>
        <sz val="5.5"/>
        <color theme="1"/>
        <rFont val="Tahoma"/>
        <family val="2"/>
      </rPr>
      <t xml:space="preserve">JEON HYUNGJUN
</t>
    </r>
    <r>
      <rPr>
        <b/>
        <sz val="5.5"/>
        <color theme="1"/>
        <rFont val="Tahoma"/>
        <family val="2"/>
      </rPr>
      <t>JAKE (L5)</t>
    </r>
  </si>
  <si>
    <r>
      <rPr>
        <sz val="5.5"/>
        <rFont val="Tahoma"/>
        <family val="2"/>
      </rPr>
      <t>LEE JIN JOO</t>
    </r>
    <r>
      <rPr>
        <b/>
        <sz val="5.5"/>
        <rFont val="Tahoma"/>
        <family val="2"/>
      </rPr>
      <t xml:space="preserve">
CRYSTAL (L4)  </t>
    </r>
  </si>
  <si>
    <r>
      <rPr>
        <sz val="5.5"/>
        <color theme="1"/>
        <rFont val="Tahoma"/>
        <family val="2"/>
      </rPr>
      <t xml:space="preserve">YAO ANN YAUN
</t>
    </r>
    <r>
      <rPr>
        <b/>
        <sz val="5.5"/>
        <color theme="1"/>
        <rFont val="Tahoma"/>
        <family val="2"/>
      </rPr>
      <t>ANN (L4)</t>
    </r>
  </si>
  <si>
    <r>
      <rPr>
        <sz val="5.5"/>
        <rFont val="Tahoma"/>
        <family val="2"/>
      </rPr>
      <t xml:space="preserve">CHEN MEI PING
</t>
    </r>
    <r>
      <rPr>
        <b/>
        <sz val="5.5"/>
        <rFont val="Tahoma"/>
        <family val="2"/>
      </rPr>
      <t xml:space="preserve">IVY CHEN  (L5)  </t>
    </r>
  </si>
  <si>
    <r>
      <rPr>
        <sz val="5.5"/>
        <color theme="1"/>
        <rFont val="Tahoma"/>
        <family val="2"/>
      </rPr>
      <t xml:space="preserve">ISOZAKI YUKA
</t>
    </r>
    <r>
      <rPr>
        <b/>
        <sz val="5.5"/>
        <color theme="1"/>
        <rFont val="Tahoma"/>
        <family val="2"/>
      </rPr>
      <t>ICE (L3)</t>
    </r>
  </si>
  <si>
    <r>
      <rPr>
        <sz val="5.5"/>
        <color theme="1"/>
        <rFont val="Tahoma"/>
        <family val="2"/>
      </rPr>
      <t xml:space="preserve">KIM DONGHYUN
</t>
    </r>
    <r>
      <rPr>
        <b/>
        <sz val="5.5"/>
        <color theme="1"/>
        <rFont val="Tahoma"/>
        <family val="2"/>
      </rPr>
      <t>KYLE (L6)</t>
    </r>
  </si>
  <si>
    <r>
      <rPr>
        <sz val="5.5"/>
        <color theme="1"/>
        <rFont val="Tahoma"/>
        <family val="2"/>
      </rPr>
      <t xml:space="preserve">LEE AHREUM
</t>
    </r>
    <r>
      <rPr>
        <b/>
        <sz val="5.5"/>
        <color theme="1"/>
        <rFont val="Tahoma"/>
        <family val="2"/>
      </rPr>
      <t>ANGELA (L3)</t>
    </r>
  </si>
  <si>
    <r>
      <rPr>
        <sz val="5.5"/>
        <color theme="1"/>
        <rFont val="Tahoma"/>
        <family val="2"/>
      </rPr>
      <t xml:space="preserve">HSIAO TIEN HSIN
</t>
    </r>
    <r>
      <rPr>
        <b/>
        <sz val="5.5"/>
        <color theme="1"/>
        <rFont val="Tahoma"/>
        <family val="2"/>
      </rPr>
      <t>LISA HSIAO (L3)</t>
    </r>
  </si>
  <si>
    <r>
      <rPr>
        <sz val="5.5"/>
        <color theme="1"/>
        <rFont val="Tahoma"/>
        <family val="2"/>
      </rPr>
      <t xml:space="preserve">LU YEH HSIN
</t>
    </r>
    <r>
      <rPr>
        <b/>
        <sz val="5.5"/>
        <color theme="1"/>
        <rFont val="Tahoma"/>
        <family val="2"/>
      </rPr>
      <t>LUME (L4)</t>
    </r>
  </si>
  <si>
    <r>
      <rPr>
        <sz val="5.5"/>
        <color theme="1"/>
        <rFont val="Tahoma"/>
        <family val="2"/>
      </rPr>
      <t xml:space="preserve">UEZU RYO
</t>
    </r>
    <r>
      <rPr>
        <b/>
        <sz val="5.5"/>
        <color theme="1"/>
        <rFont val="Tahoma"/>
        <family val="2"/>
      </rPr>
      <t>LIO (L4)</t>
    </r>
  </si>
  <si>
    <r>
      <rPr>
        <sz val="5.5"/>
        <color theme="1"/>
        <rFont val="Tahoma"/>
        <family val="2"/>
      </rPr>
      <t xml:space="preserve">BAEINHEE
</t>
    </r>
    <r>
      <rPr>
        <b/>
        <sz val="5.5"/>
        <color theme="1"/>
        <rFont val="Tahoma"/>
        <family val="2"/>
      </rPr>
      <t>HENRY (L5)</t>
    </r>
  </si>
  <si>
    <r>
      <rPr>
        <sz val="5.5"/>
        <rFont val="Tahoma"/>
        <family val="2"/>
      </rPr>
      <t xml:space="preserve">SHUNSUKE HANAWA
</t>
    </r>
    <r>
      <rPr>
        <b/>
        <sz val="5.5"/>
        <rFont val="Tahoma"/>
        <family val="2"/>
      </rPr>
      <t>SHUN (L3)</t>
    </r>
  </si>
  <si>
    <t>GC09</t>
  </si>
  <si>
    <r>
      <rPr>
        <b/>
        <sz val="5.5"/>
        <color theme="1"/>
        <rFont val="Tahoma"/>
        <family val="2"/>
      </rPr>
      <t>VENUS</t>
    </r>
    <r>
      <rPr>
        <sz val="5.5"/>
        <color theme="1"/>
        <rFont val="Tahoma"/>
        <family val="2"/>
      </rPr>
      <t xml:space="preserve">                  </t>
    </r>
    <r>
      <rPr>
        <b/>
        <sz val="5.5"/>
        <color theme="1"/>
        <rFont val="Tahoma"/>
        <family val="2"/>
      </rPr>
      <t>(ENGLISH IN COMMON 4) - L6</t>
    </r>
  </si>
  <si>
    <r>
      <rPr>
        <b/>
        <sz val="5.5"/>
        <color theme="1"/>
        <rFont val="Tahoma"/>
        <family val="2"/>
      </rPr>
      <t>AZIL</t>
    </r>
    <r>
      <rPr>
        <sz val="5.5"/>
        <color theme="1"/>
        <rFont val="Tahoma"/>
        <family val="2"/>
      </rPr>
      <t xml:space="preserve">                     </t>
    </r>
    <r>
      <rPr>
        <b/>
        <sz val="5.5"/>
        <color theme="1"/>
        <rFont val="Tahoma"/>
        <family val="2"/>
      </rPr>
      <t>(CLOCKWISE PRE INTERMEDIATE) - L5</t>
    </r>
  </si>
  <si>
    <r>
      <rPr>
        <b/>
        <sz val="5.5"/>
        <color theme="1"/>
        <rFont val="Tahoma"/>
        <family val="2"/>
      </rPr>
      <t>JOHN</t>
    </r>
    <r>
      <rPr>
        <sz val="5.5"/>
        <color theme="1"/>
        <rFont val="Tahoma"/>
        <family val="2"/>
      </rPr>
      <t xml:space="preserve">                    </t>
    </r>
    <r>
      <rPr>
        <b/>
        <sz val="5.5"/>
        <color theme="1"/>
        <rFont val="Tahoma"/>
        <family val="2"/>
      </rPr>
      <t xml:space="preserve">INTERCHANGE 1) - L2-L3 </t>
    </r>
  </si>
  <si>
    <r>
      <rPr>
        <b/>
        <sz val="5.5"/>
        <color theme="1"/>
        <rFont val="Tahoma"/>
        <family val="2"/>
      </rPr>
      <t>LEA</t>
    </r>
    <r>
      <rPr>
        <sz val="5.5"/>
        <color theme="1"/>
        <rFont val="Tahoma"/>
        <family val="2"/>
      </rPr>
      <t xml:space="preserve">            </t>
    </r>
    <r>
      <rPr>
        <b/>
        <sz val="5.5"/>
        <color theme="1"/>
        <rFont val="Tahoma"/>
        <family val="2"/>
      </rPr>
      <t xml:space="preserve"> (INTERCHANGE 3) - L6</t>
    </r>
  </si>
  <si>
    <r>
      <rPr>
        <b/>
        <sz val="5.5"/>
        <color theme="1"/>
        <rFont val="Tahoma"/>
        <family val="2"/>
      </rPr>
      <t>GERA</t>
    </r>
    <r>
      <rPr>
        <sz val="5.5"/>
        <color theme="1"/>
        <rFont val="Tahoma"/>
        <family val="2"/>
      </rPr>
      <t xml:space="preserve">                        </t>
    </r>
    <r>
      <rPr>
        <b/>
        <sz val="5.5"/>
        <color theme="1"/>
        <rFont val="Tahoma"/>
        <family val="2"/>
      </rPr>
      <t xml:space="preserve"> (ENGLISH IN COMMON 3) - L4</t>
    </r>
  </si>
  <si>
    <r>
      <rPr>
        <b/>
        <sz val="5.5"/>
        <color theme="1"/>
        <rFont val="Tahoma"/>
        <family val="2"/>
      </rPr>
      <t>MARIBEL</t>
    </r>
    <r>
      <rPr>
        <sz val="5.5"/>
        <color theme="1"/>
        <rFont val="Tahoma"/>
        <family val="2"/>
      </rPr>
      <t xml:space="preserve">                         </t>
    </r>
    <r>
      <rPr>
        <b/>
        <sz val="5.5"/>
        <color theme="1"/>
        <rFont val="Tahoma"/>
        <family val="2"/>
      </rPr>
      <t>(CLOCKWISE PRE INTERMEDIATE) - L5</t>
    </r>
  </si>
  <si>
    <r>
      <rPr>
        <b/>
        <sz val="5.5"/>
        <color theme="1"/>
        <rFont val="Tahoma"/>
        <family val="2"/>
      </rPr>
      <t>RUTH</t>
    </r>
    <r>
      <rPr>
        <sz val="5.5"/>
        <color theme="1"/>
        <rFont val="Tahoma"/>
        <family val="2"/>
      </rPr>
      <t xml:space="preserve">                                 </t>
    </r>
    <r>
      <rPr>
        <b/>
        <sz val="5.5"/>
        <color theme="1"/>
        <rFont val="Tahoma"/>
        <family val="2"/>
      </rPr>
      <t>(INTERCHANGE 1) -L3</t>
    </r>
  </si>
  <si>
    <r>
      <rPr>
        <b/>
        <sz val="5.5"/>
        <color theme="1"/>
        <rFont val="Tahoma"/>
        <family val="2"/>
      </rPr>
      <t xml:space="preserve">TOEIC BRIDGE </t>
    </r>
    <r>
      <rPr>
        <sz val="5.5"/>
        <color theme="1"/>
        <rFont val="Tahoma"/>
        <family val="2"/>
      </rPr>
      <t>CLINIC</t>
    </r>
    <r>
      <rPr>
        <b/>
        <sz val="5.5"/>
        <color theme="1"/>
        <rFont val="Tahoma"/>
        <family val="2"/>
      </rPr>
      <t xml:space="preserve"> (JAMES)</t>
    </r>
  </si>
  <si>
    <r>
      <rPr>
        <sz val="5.5"/>
        <color theme="1"/>
        <rFont val="Tahoma"/>
        <family val="2"/>
      </rPr>
      <t xml:space="preserve">UEGAKI EIKAKU
</t>
    </r>
    <r>
      <rPr>
        <b/>
        <sz val="5.5"/>
        <color theme="1"/>
        <rFont val="Tahoma"/>
        <family val="2"/>
      </rPr>
      <t>KAKU (L4)</t>
    </r>
  </si>
  <si>
    <r>
      <rPr>
        <sz val="5.5"/>
        <color theme="1"/>
        <rFont val="Tahoma"/>
        <family val="2"/>
      </rPr>
      <t xml:space="preserve">HONG WOO RIN
</t>
    </r>
    <r>
      <rPr>
        <b/>
        <sz val="5.5"/>
        <color theme="1"/>
        <rFont val="Tahoma"/>
        <family val="2"/>
      </rPr>
      <t>DANIEL HONG (L3)</t>
    </r>
  </si>
  <si>
    <r>
      <rPr>
        <sz val="5.5"/>
        <color theme="1"/>
        <rFont val="Tahoma"/>
        <family val="2"/>
      </rPr>
      <t xml:space="preserve">YASUKA OKADA
</t>
    </r>
    <r>
      <rPr>
        <b/>
        <sz val="5.5"/>
        <color theme="1"/>
        <rFont val="Tahoma"/>
        <family val="2"/>
      </rPr>
      <t>YASUKA (L5)</t>
    </r>
  </si>
  <si>
    <r>
      <rPr>
        <sz val="5.5"/>
        <color theme="1"/>
        <rFont val="Tahoma"/>
        <family val="2"/>
      </rPr>
      <t xml:space="preserve">LEE GEUNYEON
</t>
    </r>
    <r>
      <rPr>
        <b/>
        <sz val="5.5"/>
        <color theme="1"/>
        <rFont val="Tahoma"/>
        <family val="2"/>
      </rPr>
      <t>STEVEN YEON (L4)</t>
    </r>
  </si>
  <si>
    <r>
      <rPr>
        <sz val="5.5"/>
        <rFont val="Tahoma"/>
        <family val="2"/>
      </rPr>
      <t xml:space="preserve">FUGA KITO
</t>
    </r>
    <r>
      <rPr>
        <b/>
        <sz val="5.5"/>
        <rFont val="Tahoma"/>
        <family val="2"/>
      </rPr>
      <t xml:space="preserve">FUGA (L4) </t>
    </r>
  </si>
  <si>
    <r>
      <rPr>
        <sz val="5.5"/>
        <rFont val="Tahoma"/>
        <family val="2"/>
      </rPr>
      <t xml:space="preserve">ISHIZAKI YURI
</t>
    </r>
    <r>
      <rPr>
        <b/>
        <sz val="5.5"/>
        <rFont val="Tahoma"/>
        <family val="2"/>
      </rPr>
      <t>YURI (L6)</t>
    </r>
  </si>
  <si>
    <r>
      <rPr>
        <sz val="5.5"/>
        <color theme="1"/>
        <rFont val="Tahoma"/>
        <family val="2"/>
      </rPr>
      <t xml:space="preserve">NOH HYUK MIN
</t>
    </r>
    <r>
      <rPr>
        <b/>
        <sz val="5.5"/>
        <color theme="1"/>
        <rFont val="Tahoma"/>
        <family val="2"/>
      </rPr>
      <t xml:space="preserve">NOH (L6) </t>
    </r>
  </si>
  <si>
    <r>
      <rPr>
        <sz val="5.5"/>
        <color theme="1"/>
        <rFont val="Tahoma"/>
        <family val="2"/>
      </rPr>
      <t xml:space="preserve">MIYAGAWA SATOKO
</t>
    </r>
    <r>
      <rPr>
        <b/>
        <sz val="5.5"/>
        <color theme="1"/>
        <rFont val="Tahoma"/>
        <family val="2"/>
      </rPr>
      <t xml:space="preserve"> SATOKO (L3)</t>
    </r>
  </si>
  <si>
    <r>
      <rPr>
        <sz val="5.5"/>
        <color theme="1"/>
        <rFont val="Tahoma"/>
        <family val="2"/>
      </rPr>
      <t xml:space="preserve">KITAMURA TAKUMI
</t>
    </r>
    <r>
      <rPr>
        <b/>
        <sz val="5.5"/>
        <color theme="1"/>
        <rFont val="Tahoma"/>
        <family val="2"/>
      </rPr>
      <t>TAKUMI (L5)</t>
    </r>
  </si>
  <si>
    <r>
      <rPr>
        <sz val="5.5"/>
        <color theme="1"/>
        <rFont val="Tahoma"/>
        <family val="2"/>
      </rPr>
      <t xml:space="preserve">JUNG DA YOUNG
</t>
    </r>
    <r>
      <rPr>
        <b/>
        <sz val="5.5"/>
        <color theme="1"/>
        <rFont val="Tahoma"/>
        <family val="2"/>
      </rPr>
      <t>MELISSA (L3)</t>
    </r>
  </si>
  <si>
    <r>
      <rPr>
        <sz val="5.5"/>
        <color theme="1"/>
        <rFont val="Tahoma"/>
        <family val="2"/>
      </rPr>
      <t xml:space="preserve">OSHIRO RYO
</t>
    </r>
    <r>
      <rPr>
        <b/>
        <sz val="5.5"/>
        <color theme="1"/>
        <rFont val="Tahoma"/>
        <family val="2"/>
      </rPr>
      <t>OSHIRO (L4)</t>
    </r>
  </si>
  <si>
    <r>
      <rPr>
        <sz val="5.5"/>
        <rFont val="Tahoma"/>
        <family val="2"/>
      </rPr>
      <t xml:space="preserve">SUGAWARA YU
</t>
    </r>
    <r>
      <rPr>
        <b/>
        <sz val="5.5"/>
        <rFont val="Tahoma"/>
        <family val="2"/>
      </rPr>
      <t xml:space="preserve">YU (l3)  </t>
    </r>
  </si>
  <si>
    <r>
      <rPr>
        <sz val="5.5"/>
        <rFont val="Tahoma"/>
        <family val="2"/>
      </rPr>
      <t xml:space="preserve">TRAN THI THUY HUONG
</t>
    </r>
    <r>
      <rPr>
        <b/>
        <sz val="5.5"/>
        <rFont val="Tahoma"/>
        <family val="2"/>
      </rPr>
      <t xml:space="preserve">LUCKY (L5) </t>
    </r>
  </si>
  <si>
    <t>CON.D</t>
  </si>
  <si>
    <r>
      <rPr>
        <b/>
        <sz val="5.5"/>
        <color theme="1"/>
        <rFont val="Tahoma"/>
        <family val="2"/>
      </rPr>
      <t>SEAN</t>
    </r>
    <r>
      <rPr>
        <sz val="5.5"/>
        <color theme="1"/>
        <rFont val="Tahoma"/>
        <family val="2"/>
      </rPr>
      <t xml:space="preserve">                                            (NATIVE CLASS)</t>
    </r>
  </si>
  <si>
    <r>
      <rPr>
        <b/>
        <sz val="5.5"/>
        <color theme="1"/>
        <rFont val="Tahoma"/>
        <family val="2"/>
      </rPr>
      <t>SEAN</t>
    </r>
    <r>
      <rPr>
        <sz val="5.5"/>
        <color theme="1"/>
        <rFont val="Tahoma"/>
        <family val="2"/>
      </rPr>
      <t xml:space="preserve">                                       (NATIVE CLASS)</t>
    </r>
  </si>
  <si>
    <r>
      <rPr>
        <b/>
        <sz val="5.5"/>
        <color theme="1"/>
        <rFont val="Tahoma"/>
        <family val="2"/>
      </rPr>
      <t>SEAN</t>
    </r>
    <r>
      <rPr>
        <sz val="5.5"/>
        <color theme="1"/>
        <rFont val="Tahoma"/>
        <family val="2"/>
      </rPr>
      <t xml:space="preserve">                                    (NATIVE CLASS)</t>
    </r>
  </si>
  <si>
    <r>
      <rPr>
        <b/>
        <sz val="5.5"/>
        <color theme="1"/>
        <rFont val="Tahoma"/>
        <family val="2"/>
      </rPr>
      <t>SEAN</t>
    </r>
    <r>
      <rPr>
        <sz val="5.5"/>
        <color theme="1"/>
        <rFont val="Tahoma"/>
        <family val="2"/>
      </rPr>
      <t xml:space="preserve">                                      (NATIVE CLASS)</t>
    </r>
  </si>
  <si>
    <r>
      <rPr>
        <b/>
        <sz val="5.5"/>
        <color theme="1"/>
        <rFont val="Tahoma"/>
        <family val="2"/>
      </rPr>
      <t xml:space="preserve">MICHEAL
</t>
    </r>
    <r>
      <rPr>
        <sz val="5.5"/>
        <color theme="1"/>
        <rFont val="Tahoma"/>
        <family val="2"/>
      </rPr>
      <t>(TOEIC VOCA)</t>
    </r>
  </si>
  <si>
    <t>GIE                         
TOUCHSTONE 2) -L4</t>
  </si>
  <si>
    <t>ANNE
(IELTS CLINIC)</t>
  </si>
  <si>
    <t>CHAN CHAN
(IELTS CLINIC)</t>
  </si>
  <si>
    <r>
      <rPr>
        <sz val="5.5"/>
        <color theme="1"/>
        <rFont val="Tahoma"/>
        <family val="2"/>
      </rPr>
      <t xml:space="preserve">HASHIMOTO HIROMI
</t>
    </r>
    <r>
      <rPr>
        <b/>
        <sz val="5.5"/>
        <color theme="1"/>
        <rFont val="Tahoma"/>
        <family val="2"/>
      </rPr>
      <t>MIX (L3)</t>
    </r>
  </si>
  <si>
    <r>
      <rPr>
        <sz val="5.5"/>
        <color theme="1"/>
        <rFont val="Tahoma"/>
        <family val="2"/>
      </rPr>
      <t xml:space="preserve">WEI CHU CHUN
</t>
    </r>
    <r>
      <rPr>
        <b/>
        <sz val="5.5"/>
        <color theme="1"/>
        <rFont val="Tahoma"/>
        <family val="2"/>
      </rPr>
      <t>JING (L4)</t>
    </r>
  </si>
  <si>
    <r>
      <rPr>
        <sz val="5.5"/>
        <color theme="1"/>
        <rFont val="Tahoma"/>
        <family val="2"/>
      </rPr>
      <t xml:space="preserve">JUNHYUNG JIN
</t>
    </r>
    <r>
      <rPr>
        <b/>
        <sz val="5.5"/>
        <color theme="1"/>
        <rFont val="Tahoma"/>
        <family val="2"/>
      </rPr>
      <t>JERRY (L4)</t>
    </r>
  </si>
  <si>
    <r>
      <rPr>
        <sz val="5.5"/>
        <color theme="1"/>
        <rFont val="Tahoma"/>
        <family val="2"/>
      </rPr>
      <t xml:space="preserve">YU CHENG YEN
</t>
    </r>
    <r>
      <rPr>
        <b/>
        <sz val="5.5"/>
        <color theme="1"/>
        <rFont val="Tahoma"/>
        <family val="2"/>
      </rPr>
      <t>ALEX YU (L4)</t>
    </r>
  </si>
  <si>
    <r>
      <rPr>
        <sz val="5.5"/>
        <color theme="1"/>
        <rFont val="Tahoma"/>
        <family val="2"/>
      </rPr>
      <t xml:space="preserve">JEE JAE UK
</t>
    </r>
    <r>
      <rPr>
        <b/>
        <sz val="5.5"/>
        <color theme="1"/>
        <rFont val="Tahoma"/>
        <family val="2"/>
      </rPr>
      <t>EVAN (L5)</t>
    </r>
  </si>
  <si>
    <r>
      <rPr>
        <sz val="5.5"/>
        <color theme="1"/>
        <rFont val="Tahoma"/>
        <family val="2"/>
      </rPr>
      <t xml:space="preserve">KANG BYUNGHOON
</t>
    </r>
    <r>
      <rPr>
        <b/>
        <sz val="5.5"/>
        <color theme="1"/>
        <rFont val="Tahoma"/>
        <family val="2"/>
      </rPr>
      <t>OSCAR (4)</t>
    </r>
  </si>
  <si>
    <r>
      <rPr>
        <sz val="5.5"/>
        <color theme="1"/>
        <rFont val="Tahoma"/>
        <family val="2"/>
      </rPr>
      <t xml:space="preserve">LIN PIN SYUAN
</t>
    </r>
    <r>
      <rPr>
        <b/>
        <sz val="5.5"/>
        <color theme="1"/>
        <rFont val="Tahoma"/>
        <family val="2"/>
      </rPr>
      <t>ZITA LIN (L5)</t>
    </r>
  </si>
  <si>
    <r>
      <rPr>
        <sz val="5.5"/>
        <color theme="1"/>
        <rFont val="Tahoma"/>
        <family val="2"/>
      </rPr>
      <t xml:space="preserve">NISHIOKA KAYO
</t>
    </r>
    <r>
      <rPr>
        <b/>
        <sz val="5.5"/>
        <color theme="1"/>
        <rFont val="Tahoma"/>
        <family val="2"/>
      </rPr>
      <t>LILY (L4)</t>
    </r>
  </si>
  <si>
    <r>
      <rPr>
        <sz val="5.5"/>
        <color theme="1"/>
        <rFont val="Tahoma"/>
        <family val="2"/>
      </rPr>
      <t xml:space="preserve">ALAMMAJ FAISAL
</t>
    </r>
    <r>
      <rPr>
        <b/>
        <sz val="5.5"/>
        <color theme="1"/>
        <rFont val="Tahoma"/>
        <family val="2"/>
      </rPr>
      <t>FAISAL (L3)</t>
    </r>
  </si>
  <si>
    <r>
      <rPr>
        <sz val="5.5"/>
        <color theme="1"/>
        <rFont val="Tahoma"/>
        <family val="2"/>
      </rPr>
      <t xml:space="preserve">MARUOKA JUNKO
</t>
    </r>
    <r>
      <rPr>
        <b/>
        <sz val="5.5"/>
        <color theme="1"/>
        <rFont val="Tahoma"/>
        <family val="2"/>
      </rPr>
      <t>JUNKO (L3)</t>
    </r>
  </si>
  <si>
    <r>
      <rPr>
        <sz val="5.5"/>
        <color theme="1"/>
        <rFont val="Tahoma"/>
        <family val="2"/>
      </rPr>
      <t xml:space="preserve">YURI CHOI
</t>
    </r>
    <r>
      <rPr>
        <b/>
        <sz val="5.5"/>
        <color theme="1"/>
        <rFont val="Tahoma"/>
        <family val="2"/>
      </rPr>
      <t>DOROTHY (L4)</t>
    </r>
  </si>
  <si>
    <r>
      <rPr>
        <sz val="5.5"/>
        <color theme="1"/>
        <rFont val="Tahoma"/>
        <family val="2"/>
      </rPr>
      <t xml:space="preserve">ERIKA MATSUBARA
</t>
    </r>
    <r>
      <rPr>
        <b/>
        <sz val="5.5"/>
        <color theme="1"/>
        <rFont val="Tahoma"/>
        <family val="2"/>
      </rPr>
      <t>EMMA (L4)</t>
    </r>
  </si>
  <si>
    <r>
      <rPr>
        <sz val="5.5"/>
        <color theme="1"/>
        <rFont val="Tahoma"/>
        <family val="2"/>
      </rPr>
      <t xml:space="preserve">KIM JISU
</t>
    </r>
    <r>
      <rPr>
        <b/>
        <sz val="5.5"/>
        <color theme="1"/>
        <rFont val="Tahoma"/>
        <family val="2"/>
      </rPr>
      <t>JISU (L3)</t>
    </r>
  </si>
  <si>
    <r>
      <rPr>
        <sz val="5.5"/>
        <color theme="1"/>
        <rFont val="Tahoma"/>
        <family val="2"/>
      </rPr>
      <t xml:space="preserve">PARK JAEHUN
</t>
    </r>
    <r>
      <rPr>
        <b/>
        <sz val="5.5"/>
        <color theme="1"/>
        <rFont val="Tahoma"/>
        <family val="2"/>
      </rPr>
      <t xml:space="preserve">HUNI (L5) </t>
    </r>
  </si>
  <si>
    <r>
      <rPr>
        <sz val="5.5"/>
        <color theme="1"/>
        <rFont val="Tahoma"/>
        <family val="2"/>
      </rPr>
      <t xml:space="preserve">RINA ANDO
</t>
    </r>
    <r>
      <rPr>
        <b/>
        <sz val="5.5"/>
        <color theme="1"/>
        <rFont val="Tahoma"/>
        <family val="2"/>
      </rPr>
      <t>SORA (L5)</t>
    </r>
  </si>
  <si>
    <r>
      <rPr>
        <sz val="5.5"/>
        <color theme="1"/>
        <rFont val="Tahoma"/>
        <family val="2"/>
      </rPr>
      <t xml:space="preserve">EUNKYUNG PARK
</t>
    </r>
    <r>
      <rPr>
        <b/>
        <sz val="5.5"/>
        <color theme="1"/>
        <rFont val="Tahoma"/>
        <family val="2"/>
      </rPr>
      <t>LISA (L3)</t>
    </r>
  </si>
  <si>
    <r>
      <rPr>
        <sz val="5.5"/>
        <rFont val="Tahoma"/>
        <family val="2"/>
      </rPr>
      <t xml:space="preserve">SHINWOOSIK
</t>
    </r>
    <r>
      <rPr>
        <b/>
        <sz val="5.5"/>
        <rFont val="Tahoma"/>
        <family val="2"/>
      </rPr>
      <t xml:space="preserve">SIK (L1) </t>
    </r>
  </si>
  <si>
    <r>
      <rPr>
        <sz val="5.5"/>
        <color theme="1"/>
        <rFont val="Tahoma"/>
        <family val="2"/>
      </rPr>
      <t xml:space="preserve">JEONG-GEUN LEE
</t>
    </r>
    <r>
      <rPr>
        <b/>
        <sz val="5.5"/>
        <color theme="1"/>
        <rFont val="Tahoma"/>
        <family val="2"/>
      </rPr>
      <t>JAMES (L4)</t>
    </r>
  </si>
  <si>
    <r>
      <rPr>
        <sz val="5.5"/>
        <color theme="1"/>
        <rFont val="Tahoma"/>
        <family val="2"/>
      </rPr>
      <t xml:space="preserve">ZHOU ER XIANG
</t>
    </r>
    <r>
      <rPr>
        <b/>
        <sz val="5.5"/>
        <color theme="1"/>
        <rFont val="Tahoma"/>
        <family val="2"/>
      </rPr>
      <t>ALAN (L3)</t>
    </r>
  </si>
  <si>
    <r>
      <rPr>
        <sz val="5.5"/>
        <color theme="1"/>
        <rFont val="Tahoma"/>
        <family val="2"/>
      </rPr>
      <t xml:space="preserve">LIN CHENG EN
</t>
    </r>
    <r>
      <rPr>
        <b/>
        <sz val="5.5"/>
        <color theme="1"/>
        <rFont val="Tahoma"/>
        <family val="2"/>
      </rPr>
      <t>JERRY LIN (L4)</t>
    </r>
  </si>
  <si>
    <r>
      <rPr>
        <sz val="5.5"/>
        <rFont val="Tahoma"/>
        <family val="2"/>
      </rPr>
      <t xml:space="preserve">LEE EUNJEONG
</t>
    </r>
    <r>
      <rPr>
        <b/>
        <sz val="5.5"/>
        <rFont val="Tahoma"/>
        <family val="2"/>
      </rPr>
      <t xml:space="preserve">JEONG (L5) </t>
    </r>
  </si>
  <si>
    <r>
      <rPr>
        <sz val="5.5"/>
        <color theme="1"/>
        <rFont val="Tahoma"/>
        <family val="2"/>
      </rPr>
      <t xml:space="preserve">KAO KAI TING
</t>
    </r>
    <r>
      <rPr>
        <b/>
        <sz val="5.5"/>
        <color theme="1"/>
        <rFont val="Tahoma"/>
        <family val="2"/>
      </rPr>
      <t>JOSH (L2)</t>
    </r>
  </si>
  <si>
    <r>
      <rPr>
        <sz val="5.5"/>
        <color theme="1"/>
        <rFont val="Tahoma"/>
        <family val="2"/>
      </rPr>
      <t xml:space="preserve">SAKI OKUMURA
</t>
    </r>
    <r>
      <rPr>
        <b/>
        <sz val="5.5"/>
        <color theme="1"/>
        <rFont val="Tahoma"/>
        <family val="2"/>
      </rPr>
      <t>SASSA (L3)</t>
    </r>
  </si>
  <si>
    <r>
      <rPr>
        <sz val="5.5"/>
        <color theme="1"/>
        <rFont val="Tahoma"/>
        <family val="2"/>
      </rPr>
      <t xml:space="preserve">WANG WAN TING
</t>
    </r>
    <r>
      <rPr>
        <b/>
        <sz val="5.5"/>
        <color theme="1"/>
        <rFont val="Tahoma"/>
        <family val="2"/>
      </rPr>
      <t>IVY (L4)</t>
    </r>
  </si>
  <si>
    <r>
      <rPr>
        <sz val="5.5"/>
        <color theme="1"/>
        <rFont val="Tahoma"/>
        <family val="2"/>
      </rPr>
      <t xml:space="preserve">NAKAMORI HOMARE
</t>
    </r>
    <r>
      <rPr>
        <b/>
        <sz val="5.5"/>
        <color theme="1"/>
        <rFont val="Tahoma"/>
        <family val="2"/>
      </rPr>
      <t>HOMA (L5)</t>
    </r>
  </si>
  <si>
    <r>
      <rPr>
        <sz val="5.5"/>
        <rFont val="Tahoma"/>
        <family val="2"/>
      </rPr>
      <t xml:space="preserve">BYEONGCHEOL PARK
</t>
    </r>
    <r>
      <rPr>
        <b/>
        <sz val="5.5"/>
        <rFont val="Tahoma"/>
        <family val="2"/>
      </rPr>
      <t xml:space="preserve">WOODY (L3) </t>
    </r>
  </si>
  <si>
    <r>
      <rPr>
        <sz val="5.5"/>
        <rFont val="Tahoma"/>
        <family val="2"/>
      </rPr>
      <t xml:space="preserve">JUNG EUNJU
</t>
    </r>
    <r>
      <rPr>
        <b/>
        <sz val="5.5"/>
        <rFont val="Tahoma"/>
        <family val="2"/>
      </rPr>
      <t xml:space="preserve">AUDREY (L5) </t>
    </r>
  </si>
  <si>
    <r>
      <rPr>
        <sz val="5.5"/>
        <color theme="1"/>
        <rFont val="Tahoma"/>
        <family val="2"/>
      </rPr>
      <t xml:space="preserve">KASHIMA YUME
</t>
    </r>
    <r>
      <rPr>
        <b/>
        <sz val="5.5"/>
        <color theme="1"/>
        <rFont val="Tahoma"/>
        <family val="2"/>
      </rPr>
      <t>YUME (L4)</t>
    </r>
  </si>
  <si>
    <r>
      <rPr>
        <sz val="5.5"/>
        <rFont val="Tahoma"/>
        <family val="2"/>
      </rPr>
      <t xml:space="preserve">CHEN JIAN HONG
</t>
    </r>
    <r>
      <rPr>
        <b/>
        <sz val="5.5"/>
        <rFont val="Tahoma"/>
        <family val="2"/>
      </rPr>
      <t xml:space="preserve">JIM(L3) </t>
    </r>
  </si>
  <si>
    <r>
      <rPr>
        <sz val="5.5"/>
        <rFont val="Tahoma"/>
        <family val="2"/>
      </rPr>
      <t xml:space="preserve">JIN SEUNGHWI
</t>
    </r>
    <r>
      <rPr>
        <b/>
        <sz val="5.5"/>
        <rFont val="Tahoma"/>
        <family val="2"/>
      </rPr>
      <t xml:space="preserve">JARBAN (L4) </t>
    </r>
  </si>
  <si>
    <r>
      <rPr>
        <sz val="5.5"/>
        <color theme="1"/>
        <rFont val="Tahoma"/>
        <family val="2"/>
      </rPr>
      <t xml:space="preserve">SEONG BAI LEE
</t>
    </r>
    <r>
      <rPr>
        <b/>
        <sz val="5.5"/>
        <color theme="1"/>
        <rFont val="Tahoma"/>
        <family val="2"/>
      </rPr>
      <t>LION  (L1)</t>
    </r>
  </si>
  <si>
    <r>
      <rPr>
        <sz val="5.5"/>
        <rFont val="Tahoma"/>
        <family val="2"/>
      </rPr>
      <t xml:space="preserve">IIDA SAYAKA
</t>
    </r>
    <r>
      <rPr>
        <b/>
        <sz val="5.5"/>
        <rFont val="Tahoma"/>
        <family val="2"/>
      </rPr>
      <t>SAYAKA (L5)</t>
    </r>
  </si>
  <si>
    <r>
      <rPr>
        <sz val="5.5"/>
        <rFont val="Tahoma"/>
        <family val="2"/>
      </rPr>
      <t xml:space="preserve">SATO EISAKU
</t>
    </r>
    <r>
      <rPr>
        <b/>
        <sz val="5.5"/>
        <rFont val="Tahoma"/>
        <family val="2"/>
      </rPr>
      <t xml:space="preserve">EISAKU (L4) </t>
    </r>
  </si>
  <si>
    <r>
      <rPr>
        <sz val="5.5"/>
        <rFont val="Tahoma"/>
        <family val="2"/>
      </rPr>
      <t xml:space="preserve">LEE EUNJI
</t>
    </r>
    <r>
      <rPr>
        <b/>
        <sz val="5.5"/>
        <rFont val="Tahoma"/>
        <family val="2"/>
      </rPr>
      <t xml:space="preserve">JESSI (L4) </t>
    </r>
  </si>
  <si>
    <r>
      <rPr>
        <sz val="5.5"/>
        <rFont val="Tahoma"/>
        <family val="2"/>
      </rPr>
      <t xml:space="preserve">NGUYEN DUC HOANG
</t>
    </r>
    <r>
      <rPr>
        <b/>
        <sz val="5.5"/>
        <rFont val="Tahoma"/>
        <family val="2"/>
      </rPr>
      <t xml:space="preserve">VICTOR (L4) </t>
    </r>
  </si>
  <si>
    <t>CON.C</t>
  </si>
  <si>
    <r>
      <rPr>
        <b/>
        <sz val="5.5"/>
        <color theme="1"/>
        <rFont val="Tahoma"/>
        <family val="2"/>
      </rPr>
      <t>KING DAVID</t>
    </r>
    <r>
      <rPr>
        <sz val="5.5"/>
        <color theme="1"/>
        <rFont val="Tahoma"/>
        <family val="2"/>
      </rPr>
      <t xml:space="preserve">                     (NATIVE CLASS)</t>
    </r>
  </si>
  <si>
    <r>
      <rPr>
        <b/>
        <sz val="5.5"/>
        <color theme="1"/>
        <rFont val="Tahoma"/>
        <family val="2"/>
      </rPr>
      <t>LYNDIE</t>
    </r>
    <r>
      <rPr>
        <sz val="5.5"/>
        <color theme="1"/>
        <rFont val="Tahoma"/>
        <family val="2"/>
      </rPr>
      <t xml:space="preserve">                       (ENGLISH IN COMMON 2) -L3</t>
    </r>
  </si>
  <si>
    <t>NADJ                    (ENGLISH IN COMMON 5) - L6</t>
  </si>
  <si>
    <t>CHARMIANE
(IELTS CLINIC)</t>
  </si>
  <si>
    <t>CHINEE
(IELTS CLINIC)</t>
  </si>
  <si>
    <r>
      <rPr>
        <sz val="5.5"/>
        <color theme="1"/>
        <rFont val="Tahoma"/>
        <family val="2"/>
      </rPr>
      <t xml:space="preserve">TRAN THI THUY HONG
</t>
    </r>
    <r>
      <rPr>
        <b/>
        <sz val="5.5"/>
        <color theme="1"/>
        <rFont val="Tahoma"/>
        <family val="2"/>
      </rPr>
      <t>TRAN (L2)</t>
    </r>
  </si>
  <si>
    <r>
      <rPr>
        <sz val="5.5"/>
        <color theme="1"/>
        <rFont val="Tahoma"/>
        <family val="2"/>
      </rPr>
      <t>EMURA YUI</t>
    </r>
    <r>
      <rPr>
        <b/>
        <sz val="5.5"/>
        <color theme="1"/>
        <rFont val="Tahoma"/>
        <family val="2"/>
      </rPr>
      <t xml:space="preserve">
EMURA (L5)</t>
    </r>
  </si>
  <si>
    <r>
      <rPr>
        <sz val="5.5"/>
        <color theme="1"/>
        <rFont val="Tahoma"/>
        <family val="2"/>
      </rPr>
      <t>WU MU SUNG</t>
    </r>
    <r>
      <rPr>
        <b/>
        <sz val="5.5"/>
        <color theme="1"/>
        <rFont val="Tahoma"/>
        <family val="2"/>
      </rPr>
      <t xml:space="preserve">
PIPI (L4)</t>
    </r>
  </si>
  <si>
    <r>
      <rPr>
        <sz val="5.5"/>
        <color theme="1"/>
        <rFont val="Tahoma"/>
        <family val="2"/>
      </rPr>
      <t xml:space="preserve">MAYU FUJIWARA
</t>
    </r>
    <r>
      <rPr>
        <b/>
        <sz val="5.5"/>
        <color theme="1"/>
        <rFont val="Tahoma"/>
        <family val="2"/>
      </rPr>
      <t>MAYU (L4)</t>
    </r>
  </si>
  <si>
    <r>
      <rPr>
        <sz val="5.5"/>
        <color theme="1"/>
        <rFont val="Tahoma"/>
        <family val="2"/>
      </rPr>
      <t xml:space="preserve">LEEKWANGPIL
</t>
    </r>
    <r>
      <rPr>
        <b/>
        <sz val="5.5"/>
        <color theme="1"/>
        <rFont val="Tahoma"/>
        <family val="2"/>
      </rPr>
      <t>PHILIP (L5)</t>
    </r>
  </si>
  <si>
    <r>
      <rPr>
        <sz val="5.5"/>
        <color theme="1"/>
        <rFont val="Tahoma"/>
        <family val="2"/>
      </rPr>
      <t xml:space="preserve">YAMASHITA ERIKA
</t>
    </r>
    <r>
      <rPr>
        <b/>
        <sz val="5.5"/>
        <color theme="1"/>
        <rFont val="Tahoma"/>
        <family val="2"/>
      </rPr>
      <t>ELLY (L5)</t>
    </r>
  </si>
  <si>
    <r>
      <rPr>
        <sz val="5.5"/>
        <color theme="1"/>
        <rFont val="Tahoma"/>
        <family val="2"/>
      </rPr>
      <t xml:space="preserve">LEEKYUNGSUN
</t>
    </r>
    <r>
      <rPr>
        <b/>
        <sz val="5.5"/>
        <color theme="1"/>
        <rFont val="Tahoma"/>
        <family val="2"/>
      </rPr>
      <t>SUNNY (l3)</t>
    </r>
  </si>
  <si>
    <r>
      <rPr>
        <sz val="5.5"/>
        <rFont val="Tahoma"/>
        <family val="2"/>
      </rPr>
      <t>HYUN JOON AHN</t>
    </r>
    <r>
      <rPr>
        <b/>
        <sz val="5.5"/>
        <rFont val="Tahoma"/>
        <family val="2"/>
      </rPr>
      <t xml:space="preserve">
JOON (l6) </t>
    </r>
  </si>
  <si>
    <r>
      <rPr>
        <sz val="5.5"/>
        <rFont val="Tahoma"/>
        <family val="2"/>
      </rPr>
      <t xml:space="preserve">LIN CHENG RU
</t>
    </r>
    <r>
      <rPr>
        <b/>
        <sz val="5.5"/>
        <rFont val="Tahoma"/>
        <family val="2"/>
      </rPr>
      <t xml:space="preserve">DANIEL (L6) </t>
    </r>
  </si>
  <si>
    <r>
      <rPr>
        <sz val="5.5"/>
        <color theme="1"/>
        <rFont val="Tahoma"/>
        <family val="2"/>
      </rPr>
      <t xml:space="preserve">PARK SOYE
</t>
    </r>
    <r>
      <rPr>
        <b/>
        <sz val="5.5"/>
        <color theme="1"/>
        <rFont val="Tahoma"/>
        <family val="2"/>
      </rPr>
      <t>SOYE (L3)</t>
    </r>
  </si>
  <si>
    <r>
      <rPr>
        <sz val="5.5"/>
        <rFont val="Tahoma"/>
        <family val="2"/>
      </rPr>
      <t xml:space="preserve">NOH HYUK MIN
</t>
    </r>
    <r>
      <rPr>
        <b/>
        <sz val="5.5"/>
        <rFont val="Tahoma"/>
        <family val="2"/>
      </rPr>
      <t>NOH (L6)</t>
    </r>
  </si>
  <si>
    <r>
      <rPr>
        <sz val="5.5"/>
        <color theme="1"/>
        <rFont val="Tahoma"/>
        <family val="2"/>
      </rPr>
      <t>KWONHANJIN
HANJIN</t>
    </r>
    <r>
      <rPr>
        <b/>
        <sz val="5.5"/>
        <color theme="1"/>
        <rFont val="Tahoma"/>
        <family val="2"/>
      </rPr>
      <t xml:space="preserve"> (L5) </t>
    </r>
  </si>
  <si>
    <r>
      <rPr>
        <sz val="5.5"/>
        <color theme="1"/>
        <rFont val="Tahoma"/>
        <family val="2"/>
      </rPr>
      <t xml:space="preserve">UEGAKI EIKAKU
</t>
    </r>
    <r>
      <rPr>
        <b/>
        <sz val="5.5"/>
        <color theme="1"/>
        <rFont val="Tahoma"/>
        <family val="2"/>
      </rPr>
      <t xml:space="preserve">KAKU (L4) </t>
    </r>
  </si>
  <si>
    <r>
      <rPr>
        <sz val="5.5"/>
        <color theme="1"/>
        <rFont val="Tahoma"/>
        <family val="2"/>
      </rPr>
      <t xml:space="preserve">LU SHIH MING
</t>
    </r>
    <r>
      <rPr>
        <b/>
        <sz val="5.5"/>
        <color theme="1"/>
        <rFont val="Tahoma"/>
        <family val="2"/>
      </rPr>
      <t>ELSON (L4)</t>
    </r>
  </si>
  <si>
    <r>
      <rPr>
        <sz val="5.5"/>
        <color theme="1"/>
        <rFont val="Tahoma"/>
        <family val="2"/>
      </rPr>
      <t xml:space="preserve">ABDULHAMID ALSULAIMANI
</t>
    </r>
    <r>
      <rPr>
        <b/>
        <sz val="5.5"/>
        <color theme="1"/>
        <rFont val="Tahoma"/>
        <family val="2"/>
      </rPr>
      <t>MEEDO (L3)</t>
    </r>
  </si>
  <si>
    <r>
      <rPr>
        <sz val="5.5"/>
        <color theme="1"/>
        <rFont val="Tahoma"/>
        <family val="2"/>
      </rPr>
      <t xml:space="preserve">HIGUCHI KAI
</t>
    </r>
    <r>
      <rPr>
        <b/>
        <sz val="5.5"/>
        <color theme="1"/>
        <rFont val="Tahoma"/>
        <family val="2"/>
      </rPr>
      <t>GUCCHI (L5)</t>
    </r>
  </si>
  <si>
    <r>
      <rPr>
        <sz val="5.5"/>
        <rFont val="Tahoma"/>
        <family val="2"/>
      </rPr>
      <t xml:space="preserve">TAKUHIRO ISHIHARA
</t>
    </r>
    <r>
      <rPr>
        <b/>
        <sz val="5.5"/>
        <rFont val="Tahoma"/>
        <family val="2"/>
      </rPr>
      <t xml:space="preserve">TAKU (L7) </t>
    </r>
  </si>
  <si>
    <r>
      <rPr>
        <sz val="5.5"/>
        <color theme="1"/>
        <rFont val="Tahoma"/>
        <family val="2"/>
      </rPr>
      <t xml:space="preserve">HANDA TADAYOSHI
</t>
    </r>
    <r>
      <rPr>
        <b/>
        <sz val="5.5"/>
        <color theme="1"/>
        <rFont val="Tahoma"/>
        <family val="2"/>
      </rPr>
      <t>YORI (L4)</t>
    </r>
  </si>
  <si>
    <r>
      <rPr>
        <sz val="5.5"/>
        <color theme="1"/>
        <rFont val="Tahoma"/>
        <family val="2"/>
      </rPr>
      <t xml:space="preserve">KAORI YAMAMOTO
</t>
    </r>
    <r>
      <rPr>
        <b/>
        <sz val="5.5"/>
        <color theme="1"/>
        <rFont val="Tahoma"/>
        <family val="2"/>
      </rPr>
      <t>KAORI (L4)</t>
    </r>
  </si>
  <si>
    <r>
      <rPr>
        <sz val="5.5"/>
        <color theme="1"/>
        <rFont val="Tahoma"/>
        <family val="2"/>
      </rPr>
      <t xml:space="preserve">YOON SLE
</t>
    </r>
    <r>
      <rPr>
        <b/>
        <sz val="5.5"/>
        <color theme="1"/>
        <rFont val="Tahoma"/>
        <family val="2"/>
      </rPr>
      <t>LIN (L5)</t>
    </r>
  </si>
  <si>
    <r>
      <rPr>
        <sz val="5.5"/>
        <rFont val="Tahoma"/>
        <family val="2"/>
      </rPr>
      <t xml:space="preserve">KANG MINSEOK
</t>
    </r>
    <r>
      <rPr>
        <b/>
        <sz val="5.5"/>
        <rFont val="Tahoma"/>
        <family val="2"/>
      </rPr>
      <t xml:space="preserve">ALDO (L2) </t>
    </r>
  </si>
  <si>
    <r>
      <rPr>
        <sz val="5.5"/>
        <color theme="1"/>
        <rFont val="Tahoma"/>
        <family val="2"/>
      </rPr>
      <t xml:space="preserve">OH SOOEUN
</t>
    </r>
    <r>
      <rPr>
        <b/>
        <sz val="5.5"/>
        <color theme="1"/>
        <rFont val="Tahoma"/>
        <family val="2"/>
      </rPr>
      <t>SYUNI (L4)</t>
    </r>
  </si>
  <si>
    <r>
      <rPr>
        <sz val="5.5"/>
        <color theme="1"/>
        <rFont val="Tahoma"/>
        <family val="2"/>
      </rPr>
      <t xml:space="preserve">MANAKO KAE
</t>
    </r>
    <r>
      <rPr>
        <b/>
        <sz val="5.5"/>
        <color theme="1"/>
        <rFont val="Tahoma"/>
        <family val="2"/>
      </rPr>
      <t>KAE (L5)</t>
    </r>
  </si>
  <si>
    <r>
      <rPr>
        <sz val="5.5"/>
        <color theme="1"/>
        <rFont val="Tahoma"/>
        <family val="2"/>
      </rPr>
      <t xml:space="preserve">OH JOO HEE
</t>
    </r>
    <r>
      <rPr>
        <b/>
        <sz val="5.5"/>
        <color theme="1"/>
        <rFont val="Tahoma"/>
        <family val="2"/>
      </rPr>
      <t>LUCIA (L5)</t>
    </r>
  </si>
  <si>
    <r>
      <rPr>
        <sz val="5.5"/>
        <rFont val="Tahoma"/>
        <family val="2"/>
      </rPr>
      <t xml:space="preserve">LIU HUNG CHIEH
</t>
    </r>
    <r>
      <rPr>
        <b/>
        <sz val="5.5"/>
        <rFont val="Tahoma"/>
        <family val="2"/>
      </rPr>
      <t xml:space="preserve">JACKY(L5) </t>
    </r>
  </si>
  <si>
    <r>
      <rPr>
        <sz val="5.5"/>
        <rFont val="Tahoma"/>
        <family val="2"/>
      </rPr>
      <t xml:space="preserve">KAWANAKA MOMO
</t>
    </r>
    <r>
      <rPr>
        <b/>
        <sz val="5.5"/>
        <rFont val="Tahoma"/>
        <family val="2"/>
      </rPr>
      <t xml:space="preserve">MOMO (L4) </t>
    </r>
  </si>
  <si>
    <r>
      <rPr>
        <sz val="5.5"/>
        <color theme="1"/>
        <rFont val="Tahoma"/>
        <family val="2"/>
      </rPr>
      <t xml:space="preserve">LEE HYUN SEON
</t>
    </r>
    <r>
      <rPr>
        <b/>
        <sz val="5.5"/>
        <color theme="1"/>
        <rFont val="Tahoma"/>
        <family val="2"/>
      </rPr>
      <t xml:space="preserve">JULIA (L5) </t>
    </r>
  </si>
  <si>
    <r>
      <rPr>
        <sz val="5.5"/>
        <rFont val="Tahoma"/>
        <family val="2"/>
      </rPr>
      <t xml:space="preserve">CHO JUNHEE
</t>
    </r>
    <r>
      <rPr>
        <b/>
        <sz val="5.5"/>
        <rFont val="Tahoma"/>
        <family val="2"/>
      </rPr>
      <t>ERIC (L6)</t>
    </r>
  </si>
  <si>
    <r>
      <rPr>
        <sz val="5.5"/>
        <rFont val="Tahoma"/>
        <family val="2"/>
      </rPr>
      <t xml:space="preserve">JIAN AN JIA
</t>
    </r>
    <r>
      <rPr>
        <b/>
        <sz val="5.5"/>
        <rFont val="Tahoma"/>
        <family val="2"/>
      </rPr>
      <t xml:space="preserve">ANJIE (L3) </t>
    </r>
  </si>
  <si>
    <r>
      <rPr>
        <sz val="5.5"/>
        <rFont val="Tahoma"/>
        <family val="2"/>
      </rPr>
      <t xml:space="preserve">WATANABE CHIE
</t>
    </r>
    <r>
      <rPr>
        <b/>
        <sz val="5.5"/>
        <rFont val="Tahoma"/>
        <family val="2"/>
      </rPr>
      <t xml:space="preserve">CHI (L2) </t>
    </r>
  </si>
  <si>
    <r>
      <rPr>
        <sz val="5.5"/>
        <rFont val="Tahoma"/>
        <family val="2"/>
      </rPr>
      <t xml:space="preserve">FUJITA MIHARU
</t>
    </r>
    <r>
      <rPr>
        <b/>
        <sz val="5.5"/>
        <rFont val="Tahoma"/>
        <family val="2"/>
      </rPr>
      <t xml:space="preserve">FUJI (L4) </t>
    </r>
  </si>
  <si>
    <t>GC10</t>
  </si>
  <si>
    <r>
      <rPr>
        <b/>
        <sz val="5.5"/>
        <color theme="1"/>
        <rFont val="Tahoma"/>
        <family val="2"/>
      </rPr>
      <t>JOVY</t>
    </r>
    <r>
      <rPr>
        <sz val="5.5"/>
        <color theme="1"/>
        <rFont val="Tahoma"/>
        <family val="2"/>
      </rPr>
      <t xml:space="preserve">                                                </t>
    </r>
    <r>
      <rPr>
        <b/>
        <sz val="5.5"/>
        <color theme="1"/>
        <rFont val="Tahoma"/>
        <family val="2"/>
      </rPr>
      <t>(ACTIVE ENGLISH DISCUSSION) - L5</t>
    </r>
  </si>
  <si>
    <r>
      <rPr>
        <b/>
        <sz val="5.5"/>
        <color theme="1"/>
        <rFont val="Tahoma"/>
        <family val="2"/>
      </rPr>
      <t>JOVY</t>
    </r>
    <r>
      <rPr>
        <sz val="5.5"/>
        <color theme="1"/>
        <rFont val="Tahoma"/>
        <family val="2"/>
      </rPr>
      <t xml:space="preserve">               </t>
    </r>
    <r>
      <rPr>
        <b/>
        <sz val="5.5"/>
        <color theme="1"/>
        <rFont val="Tahoma"/>
        <family val="2"/>
      </rPr>
      <t>(INTERCHANGE 2) - L5</t>
    </r>
  </si>
  <si>
    <r>
      <rPr>
        <b/>
        <sz val="5.5"/>
        <color theme="1"/>
        <rFont val="Tahoma"/>
        <family val="2"/>
      </rPr>
      <t>JOVY</t>
    </r>
    <r>
      <rPr>
        <sz val="5.5"/>
        <color theme="1"/>
        <rFont val="Tahoma"/>
        <family val="2"/>
      </rPr>
      <t xml:space="preserve">                        </t>
    </r>
    <r>
      <rPr>
        <b/>
        <sz val="5.5"/>
        <color theme="1"/>
        <rFont val="Tahoma"/>
        <family val="2"/>
      </rPr>
      <t>(ENGLISH IN COMMON 5) -L7</t>
    </r>
  </si>
  <si>
    <r>
      <rPr>
        <b/>
        <sz val="5.5"/>
        <color theme="1"/>
        <rFont val="Tahoma"/>
        <family val="2"/>
      </rPr>
      <t>JOVY</t>
    </r>
    <r>
      <rPr>
        <sz val="5.5"/>
        <color theme="1"/>
        <rFont val="Tahoma"/>
        <family val="2"/>
      </rPr>
      <t xml:space="preserve">                  </t>
    </r>
    <r>
      <rPr>
        <b/>
        <sz val="5.5"/>
        <color theme="1"/>
        <rFont val="Tahoma"/>
        <family val="2"/>
      </rPr>
      <t>(TOUCHSTONE 2) - L5</t>
    </r>
  </si>
  <si>
    <r>
      <rPr>
        <b/>
        <sz val="5.5"/>
        <color theme="1"/>
        <rFont val="Tahoma"/>
        <family val="2"/>
      </rPr>
      <t>SHIENA</t>
    </r>
    <r>
      <rPr>
        <sz val="5.5"/>
        <color theme="1"/>
        <rFont val="Tahoma"/>
        <family val="2"/>
      </rPr>
      <t xml:space="preserve">            </t>
    </r>
    <r>
      <rPr>
        <b/>
        <sz val="5.5"/>
        <color theme="1"/>
        <rFont val="Tahoma"/>
        <family val="2"/>
      </rPr>
      <t>(INTERCHANGE 1) -L3</t>
    </r>
  </si>
  <si>
    <r>
      <rPr>
        <b/>
        <sz val="5.5"/>
        <color theme="1"/>
        <rFont val="Tahoma"/>
        <family val="2"/>
      </rPr>
      <t>JUL</t>
    </r>
    <r>
      <rPr>
        <sz val="5.5"/>
        <color theme="1"/>
        <rFont val="Tahoma"/>
        <family val="2"/>
      </rPr>
      <t xml:space="preserve">                        </t>
    </r>
    <r>
      <rPr>
        <b/>
        <sz val="5.5"/>
        <color theme="1"/>
        <rFont val="Tahoma"/>
        <family val="2"/>
      </rPr>
      <t>(CLOCKWISE INTERMEDIATE) - L6</t>
    </r>
  </si>
  <si>
    <r>
      <rPr>
        <b/>
        <sz val="5.5"/>
        <color theme="1"/>
        <rFont val="Tahoma"/>
        <family val="2"/>
      </rPr>
      <t xml:space="preserve">JUNE               
 </t>
    </r>
    <r>
      <rPr>
        <sz val="5.5"/>
        <color theme="1"/>
        <rFont val="Tahoma"/>
        <family val="2"/>
      </rPr>
      <t xml:space="preserve"> </t>
    </r>
    <r>
      <rPr>
        <b/>
        <sz val="5.5"/>
        <color theme="1"/>
        <rFont val="Tahoma"/>
        <family val="2"/>
      </rPr>
      <t>(IMPACT TOPICS - L6</t>
    </r>
  </si>
  <si>
    <r>
      <rPr>
        <b/>
        <sz val="5.5"/>
        <color theme="1"/>
        <rFont val="Tahoma"/>
        <family val="2"/>
      </rPr>
      <t>JOVY</t>
    </r>
    <r>
      <rPr>
        <sz val="5.5"/>
        <color theme="1"/>
        <rFont val="Tahoma"/>
        <family val="2"/>
      </rPr>
      <t xml:space="preserve">                                       </t>
    </r>
    <r>
      <rPr>
        <b/>
        <sz val="5.5"/>
        <color theme="1"/>
        <rFont val="Tahoma"/>
        <family val="2"/>
      </rPr>
      <t>(INTERCHANGE 2) - L4</t>
    </r>
  </si>
  <si>
    <t>LYNN
(IELTS BRIDGE)</t>
  </si>
  <si>
    <t>NIEL
(IELTS BRIDGE)</t>
  </si>
  <si>
    <r>
      <rPr>
        <sz val="5.5"/>
        <color theme="1"/>
        <rFont val="Tahoma"/>
        <family val="2"/>
      </rPr>
      <t xml:space="preserve">TAMURA MAMIKO
</t>
    </r>
    <r>
      <rPr>
        <b/>
        <sz val="5.5"/>
        <color theme="1"/>
        <rFont val="Tahoma"/>
        <family val="2"/>
      </rPr>
      <t>MAMIKO (L6)</t>
    </r>
  </si>
  <si>
    <r>
      <rPr>
        <sz val="5.5"/>
        <rFont val="Tahoma"/>
        <family val="2"/>
      </rPr>
      <t xml:space="preserve">YAMAMOTO KEI
</t>
    </r>
    <r>
      <rPr>
        <b/>
        <sz val="5.5"/>
        <rFont val="Tahoma"/>
        <family val="2"/>
      </rPr>
      <t xml:space="preserve">KEI (L4) </t>
    </r>
  </si>
  <si>
    <r>
      <rPr>
        <sz val="5.5"/>
        <rFont val="Tahoma"/>
        <family val="2"/>
      </rPr>
      <t xml:space="preserve">CHIHO KASAISHI
</t>
    </r>
    <r>
      <rPr>
        <b/>
        <sz val="5.5"/>
        <rFont val="Tahoma"/>
        <family val="2"/>
      </rPr>
      <t xml:space="preserve">CHIHO (L4) </t>
    </r>
  </si>
  <si>
    <t>GC11</t>
  </si>
  <si>
    <r>
      <rPr>
        <b/>
        <sz val="5.5"/>
        <color theme="1"/>
        <rFont val="Tahoma"/>
        <family val="2"/>
      </rPr>
      <t>KISHA</t>
    </r>
    <r>
      <rPr>
        <sz val="5.5"/>
        <color theme="1"/>
        <rFont val="Tahoma"/>
        <family val="2"/>
      </rPr>
      <t xml:space="preserve">                      </t>
    </r>
    <r>
      <rPr>
        <b/>
        <sz val="5.5"/>
        <color theme="1"/>
        <rFont val="Tahoma"/>
        <family val="2"/>
      </rPr>
      <t>(TOUCHSTONE 1) - L2-L3</t>
    </r>
  </si>
  <si>
    <r>
      <rPr>
        <b/>
        <sz val="5.5"/>
        <color theme="1"/>
        <rFont val="Tahoma"/>
        <family val="2"/>
      </rPr>
      <t>JIM</t>
    </r>
    <r>
      <rPr>
        <sz val="5.5"/>
        <color theme="1"/>
        <rFont val="Tahoma"/>
        <family val="2"/>
      </rPr>
      <t xml:space="preserve">          
</t>
    </r>
    <r>
      <rPr>
        <b/>
        <sz val="5.5"/>
        <color theme="1"/>
        <rFont val="Tahoma"/>
        <family val="2"/>
      </rPr>
      <t>(CLOCKWISE ELEMENTARY) - L3</t>
    </r>
  </si>
  <si>
    <r>
      <rPr>
        <b/>
        <sz val="5.5"/>
        <color theme="1"/>
        <rFont val="Tahoma"/>
        <family val="2"/>
      </rPr>
      <t>GIE</t>
    </r>
    <r>
      <rPr>
        <sz val="5.5"/>
        <color theme="1"/>
        <rFont val="Tahoma"/>
        <family val="2"/>
      </rPr>
      <t xml:space="preserve">                
</t>
    </r>
    <r>
      <rPr>
        <b/>
        <sz val="5.5"/>
        <color theme="1"/>
        <rFont val="Tahoma"/>
        <family val="2"/>
      </rPr>
      <t>(HIGH IMPACT) - L4</t>
    </r>
  </si>
  <si>
    <r>
      <rPr>
        <b/>
        <sz val="5.5"/>
        <color theme="1"/>
        <rFont val="Tahoma"/>
        <family val="2"/>
      </rPr>
      <t>KEVIN</t>
    </r>
    <r>
      <rPr>
        <sz val="5.5"/>
        <color theme="1"/>
        <rFont val="Tahoma"/>
        <family val="2"/>
      </rPr>
      <t xml:space="preserve">              </t>
    </r>
    <r>
      <rPr>
        <b/>
        <sz val="5.5"/>
        <color theme="1"/>
        <rFont val="Tahoma"/>
        <family val="2"/>
      </rPr>
      <t xml:space="preserve"> (INTERCHANGE 2)  -L4</t>
    </r>
  </si>
  <si>
    <r>
      <rPr>
        <b/>
        <sz val="5.5"/>
        <color theme="1"/>
        <rFont val="Tahoma"/>
        <family val="2"/>
      </rPr>
      <t>AYRA</t>
    </r>
    <r>
      <rPr>
        <sz val="5.5"/>
        <color theme="1"/>
        <rFont val="Tahoma"/>
        <family val="2"/>
      </rPr>
      <t xml:space="preserve">           
</t>
    </r>
    <r>
      <rPr>
        <b/>
        <sz val="5.5"/>
        <color theme="1"/>
        <rFont val="Tahoma"/>
        <family val="2"/>
      </rPr>
      <t>(TOUCHSTONE 2) - L5</t>
    </r>
  </si>
  <si>
    <r>
      <rPr>
        <b/>
        <sz val="5.5"/>
        <color theme="1"/>
        <rFont val="Tahoma"/>
        <family val="2"/>
      </rPr>
      <t>CHARMAINE</t>
    </r>
    <r>
      <rPr>
        <sz val="5.5"/>
        <color theme="1"/>
        <rFont val="Tahoma"/>
        <family val="2"/>
      </rPr>
      <t xml:space="preserve">                            
(IELTS-VOCA)</t>
    </r>
  </si>
  <si>
    <r>
      <rPr>
        <b/>
        <sz val="5.5"/>
        <color theme="1"/>
        <rFont val="Tahoma"/>
        <family val="2"/>
      </rPr>
      <t xml:space="preserve">LUZ                </t>
    </r>
    <r>
      <rPr>
        <sz val="5.5"/>
        <color theme="1"/>
        <rFont val="Tahoma"/>
        <family val="2"/>
      </rPr>
      <t xml:space="preserve">    
</t>
    </r>
    <r>
      <rPr>
        <b/>
        <sz val="5.5"/>
        <color theme="1"/>
        <rFont val="Tahoma"/>
        <family val="2"/>
      </rPr>
      <t>(TOUCHSTONE 2) - L5</t>
    </r>
  </si>
  <si>
    <r>
      <rPr>
        <b/>
        <sz val="5.5"/>
        <color theme="1"/>
        <rFont val="Tahoma"/>
        <family val="2"/>
      </rPr>
      <t>ALYSSA</t>
    </r>
    <r>
      <rPr>
        <sz val="5.5"/>
        <color theme="1"/>
        <rFont val="Tahoma"/>
        <family val="2"/>
      </rPr>
      <t xml:space="preserve">          
 </t>
    </r>
    <r>
      <rPr>
        <b/>
        <sz val="5.5"/>
        <color theme="1"/>
        <rFont val="Tahoma"/>
        <family val="2"/>
      </rPr>
      <t>(INTERCHANGE 2) - L5</t>
    </r>
  </si>
  <si>
    <t>ROY
(IELTS CLINIC)</t>
  </si>
  <si>
    <t>JUL
(IELTS CLINIC)</t>
  </si>
  <si>
    <r>
      <rPr>
        <sz val="5.5"/>
        <color theme="1"/>
        <rFont val="Tahoma"/>
        <family val="2"/>
      </rPr>
      <t xml:space="preserve">TATSUMI CHISATO
</t>
    </r>
    <r>
      <rPr>
        <b/>
        <sz val="5.5"/>
        <color theme="1"/>
        <rFont val="Tahoma"/>
        <family val="2"/>
      </rPr>
      <t>CHII (L4)</t>
    </r>
  </si>
  <si>
    <r>
      <rPr>
        <sz val="5.5"/>
        <rFont val="Tahoma"/>
        <family val="2"/>
      </rPr>
      <t xml:space="preserve">KU DO HEE
</t>
    </r>
    <r>
      <rPr>
        <b/>
        <sz val="5.5"/>
        <rFont val="Tahoma"/>
        <family val="2"/>
      </rPr>
      <t>HAYLEE</t>
    </r>
  </si>
  <si>
    <r>
      <rPr>
        <sz val="5.5"/>
        <color theme="1"/>
        <rFont val="Tahoma"/>
        <family val="2"/>
      </rPr>
      <t xml:space="preserve">HO JUI CHE
</t>
    </r>
    <r>
      <rPr>
        <b/>
        <sz val="5.5"/>
        <color theme="1"/>
        <rFont val="Tahoma"/>
        <family val="2"/>
      </rPr>
      <t>JIMMY (L4)</t>
    </r>
  </si>
  <si>
    <r>
      <rPr>
        <sz val="5.5"/>
        <color theme="1"/>
        <rFont val="Tahoma"/>
        <family val="2"/>
      </rPr>
      <t xml:space="preserve">SEKI TAKAHIRO
</t>
    </r>
    <r>
      <rPr>
        <b/>
        <sz val="5.5"/>
        <color theme="1"/>
        <rFont val="Tahoma"/>
        <family val="2"/>
      </rPr>
      <t>KING (L5)</t>
    </r>
  </si>
  <si>
    <r>
      <rPr>
        <sz val="5.5"/>
        <color theme="1"/>
        <rFont val="Tahoma"/>
        <family val="2"/>
      </rPr>
      <t xml:space="preserve">CHUN HYUN WOO
</t>
    </r>
    <r>
      <rPr>
        <b/>
        <sz val="5.5"/>
        <color theme="1"/>
        <rFont val="Tahoma"/>
        <family val="2"/>
      </rPr>
      <t xml:space="preserve">ANDREW  (L4)  </t>
    </r>
  </si>
  <si>
    <r>
      <rPr>
        <sz val="5.5"/>
        <rFont val="Times New Roman"/>
        <family val="1"/>
      </rPr>
      <t xml:space="preserve">TAHIR ALBAIDHNI
</t>
    </r>
    <r>
      <rPr>
        <b/>
        <sz val="5.5"/>
        <rFont val="Times New Roman"/>
        <family val="1"/>
      </rPr>
      <t xml:space="preserve">TAHIR (L3) </t>
    </r>
  </si>
  <si>
    <t>GC12</t>
  </si>
  <si>
    <r>
      <rPr>
        <b/>
        <sz val="5.5"/>
        <color theme="1"/>
        <rFont val="Tahoma"/>
        <family val="2"/>
      </rPr>
      <t>CHAN CHAN</t>
    </r>
    <r>
      <rPr>
        <sz val="5.5"/>
        <color theme="1"/>
        <rFont val="Tahoma"/>
        <family val="2"/>
      </rPr>
      <t xml:space="preserve">                                     
(IELTS-GRAMMAR)</t>
    </r>
  </si>
  <si>
    <r>
      <rPr>
        <b/>
        <sz val="5.5"/>
        <color theme="1"/>
        <rFont val="Tahoma"/>
        <family val="2"/>
      </rPr>
      <t>NIEL</t>
    </r>
    <r>
      <rPr>
        <sz val="5.5"/>
        <color theme="1"/>
        <rFont val="Tahoma"/>
        <family val="2"/>
      </rPr>
      <t xml:space="preserve">                                        
(IELTS-GRAMMAR)</t>
    </r>
  </si>
  <si>
    <r>
      <rPr>
        <b/>
        <sz val="5.5"/>
        <color theme="1"/>
        <rFont val="Tahoma"/>
        <family val="2"/>
      </rPr>
      <t>ANNE</t>
    </r>
    <r>
      <rPr>
        <sz val="5.5"/>
        <color theme="1"/>
        <rFont val="Tahoma"/>
        <family val="2"/>
      </rPr>
      <t xml:space="preserve">
 (IELTS SPEAKING)</t>
    </r>
  </si>
  <si>
    <r>
      <rPr>
        <b/>
        <sz val="5.5"/>
        <color theme="1"/>
        <rFont val="Tahoma"/>
        <family val="2"/>
      </rPr>
      <t>KEVIN</t>
    </r>
    <r>
      <rPr>
        <sz val="5.5"/>
        <color theme="1"/>
        <rFont val="Tahoma"/>
        <family val="2"/>
      </rPr>
      <t xml:space="preserve">
 (IELTS GRAMMAR)</t>
    </r>
  </si>
  <si>
    <r>
      <rPr>
        <b/>
        <sz val="5.5"/>
        <color theme="1"/>
        <rFont val="Tahoma"/>
        <family val="2"/>
      </rPr>
      <t>CHARMAINE</t>
    </r>
    <r>
      <rPr>
        <sz val="5.5"/>
        <color theme="1"/>
        <rFont val="Tahoma"/>
        <family val="2"/>
      </rPr>
      <t xml:space="preserve">                 
</t>
    </r>
    <r>
      <rPr>
        <b/>
        <sz val="5.5"/>
        <color theme="1"/>
        <rFont val="Tahoma"/>
        <family val="2"/>
      </rPr>
      <t>(NCE PRE-INTER) -L5</t>
    </r>
  </si>
  <si>
    <r>
      <rPr>
        <b/>
        <sz val="5.5"/>
        <color theme="1"/>
        <rFont val="Tahoma"/>
        <family val="2"/>
      </rPr>
      <t>CHARMAINE</t>
    </r>
    <r>
      <rPr>
        <sz val="5.5"/>
        <color theme="1"/>
        <rFont val="Tahoma"/>
        <family val="2"/>
      </rPr>
      <t xml:space="preserve">                 </t>
    </r>
    <r>
      <rPr>
        <b/>
        <sz val="5.5"/>
        <color theme="1"/>
        <rFont val="Tahoma"/>
        <family val="2"/>
      </rPr>
      <t>(ENGLISH IN COMMON 2) - L2-L3</t>
    </r>
  </si>
  <si>
    <t>MICO
(IELTS CLINIC)</t>
  </si>
  <si>
    <t>LUZ
(IELTS CLINIC)</t>
  </si>
  <si>
    <r>
      <rPr>
        <sz val="5.5"/>
        <color rgb="FF000000"/>
        <rFont val="Tahoma"/>
        <family val="2"/>
      </rPr>
      <t xml:space="preserve">HO THI TRANG
</t>
    </r>
    <r>
      <rPr>
        <b/>
        <sz val="5.5"/>
        <color rgb="FF000000"/>
        <rFont val="Tahoma"/>
        <family val="2"/>
      </rPr>
      <t>SOPHIA</t>
    </r>
  </si>
  <si>
    <r>
      <t xml:space="preserve">TRAN NGOC ANH THU
</t>
    </r>
    <r>
      <rPr>
        <b/>
        <sz val="5.5"/>
        <rFont val="Tahoma"/>
        <family val="2"/>
      </rPr>
      <t>ANNA</t>
    </r>
  </si>
  <si>
    <r>
      <rPr>
        <sz val="5.5"/>
        <color theme="1"/>
        <rFont val="Tahoma"/>
        <family val="2"/>
      </rPr>
      <t xml:space="preserve">CHUN HYUN WOO
</t>
    </r>
    <r>
      <rPr>
        <b/>
        <sz val="5.5"/>
        <color theme="1"/>
        <rFont val="Tahoma"/>
        <family val="2"/>
      </rPr>
      <t xml:space="preserve">ANDREW  (L4) </t>
    </r>
  </si>
  <si>
    <r>
      <t xml:space="preserve">NGUYEN TAN THAI
</t>
    </r>
    <r>
      <rPr>
        <b/>
        <sz val="5.5"/>
        <color rgb="FF000000"/>
        <rFont val="Tahoma"/>
        <family val="2"/>
      </rPr>
      <t>TAN</t>
    </r>
  </si>
  <si>
    <r>
      <rPr>
        <sz val="5.5"/>
        <color theme="1"/>
        <rFont val="Tahoma"/>
        <family val="2"/>
      </rPr>
      <t>SASAKI TAEKO</t>
    </r>
    <r>
      <rPr>
        <b/>
        <sz val="5.5"/>
        <color theme="1"/>
        <rFont val="Tahoma"/>
        <family val="2"/>
      </rPr>
      <t xml:space="preserve">
TAEKO (L5) </t>
    </r>
  </si>
  <si>
    <r>
      <rPr>
        <sz val="5.5"/>
        <color theme="1"/>
        <rFont val="Tahoma"/>
        <family val="2"/>
      </rPr>
      <t xml:space="preserve">LIN CHENG EN
</t>
    </r>
    <r>
      <rPr>
        <b/>
        <sz val="5.5"/>
        <color theme="1"/>
        <rFont val="Tahoma"/>
        <family val="2"/>
      </rPr>
      <t xml:space="preserve">JERRY LIN (L4) </t>
    </r>
  </si>
  <si>
    <r>
      <t xml:space="preserve">TSAI MENG HUNG
</t>
    </r>
    <r>
      <rPr>
        <b/>
        <sz val="5.5"/>
        <rFont val="Tahoma"/>
        <family val="2"/>
      </rPr>
      <t>MATT</t>
    </r>
  </si>
  <si>
    <r>
      <t xml:space="preserve">PHAM NGOC HUONG
</t>
    </r>
    <r>
      <rPr>
        <b/>
        <sz val="5.5"/>
        <rFont val="Tahoma"/>
        <family val="2"/>
      </rPr>
      <t>JULIE</t>
    </r>
  </si>
  <si>
    <t>GC13</t>
  </si>
  <si>
    <r>
      <rPr>
        <b/>
        <sz val="5.5"/>
        <color theme="1"/>
        <rFont val="Tahoma"/>
        <family val="2"/>
      </rPr>
      <t>CHINEE</t>
    </r>
    <r>
      <rPr>
        <sz val="5.5"/>
        <color theme="1"/>
        <rFont val="Tahoma"/>
        <family val="2"/>
      </rPr>
      <t xml:space="preserve">                                      
(IELTS-GRAMMAR)</t>
    </r>
  </si>
  <si>
    <r>
      <rPr>
        <b/>
        <sz val="5.5"/>
        <color theme="1"/>
        <rFont val="Tahoma"/>
        <family val="2"/>
      </rPr>
      <t>NIEL</t>
    </r>
    <r>
      <rPr>
        <sz val="5.5"/>
        <color theme="1"/>
        <rFont val="Tahoma"/>
        <family val="2"/>
      </rPr>
      <t xml:space="preserve">                                       
(IELTS)</t>
    </r>
  </si>
  <si>
    <r>
      <rPr>
        <b/>
        <sz val="5.5"/>
        <color theme="1"/>
        <rFont val="Tahoma"/>
        <family val="2"/>
      </rPr>
      <t>HARVEY</t>
    </r>
    <r>
      <rPr>
        <sz val="5.5"/>
        <color theme="1"/>
        <rFont val="Tahoma"/>
        <family val="2"/>
      </rPr>
      <t xml:space="preserve">                          
(IELTS-SPEAKING)</t>
    </r>
  </si>
  <si>
    <r>
      <rPr>
        <b/>
        <sz val="5.5"/>
        <color theme="1"/>
        <rFont val="Tahoma"/>
        <family val="2"/>
      </rPr>
      <t>HARVEY</t>
    </r>
    <r>
      <rPr>
        <sz val="5.5"/>
        <color theme="1"/>
        <rFont val="Tahoma"/>
        <family val="2"/>
      </rPr>
      <t xml:space="preserve">                                         
(IELTS-GRAMMAE)</t>
    </r>
  </si>
  <si>
    <r>
      <rPr>
        <b/>
        <sz val="5.5"/>
        <color theme="1"/>
        <rFont val="Tahoma"/>
        <family val="2"/>
      </rPr>
      <t>CHINEE</t>
    </r>
    <r>
      <rPr>
        <sz val="5.5"/>
        <color theme="1"/>
        <rFont val="Tahoma"/>
        <family val="2"/>
      </rPr>
      <t xml:space="preserve">                           
(IELTS-VOCA)</t>
    </r>
  </si>
  <si>
    <r>
      <rPr>
        <b/>
        <sz val="5.5"/>
        <color theme="1"/>
        <rFont val="Tahoma"/>
        <family val="2"/>
      </rPr>
      <t>MARI</t>
    </r>
    <r>
      <rPr>
        <sz val="5.5"/>
        <color theme="1"/>
        <rFont val="Tahoma"/>
        <family val="2"/>
      </rPr>
      <t xml:space="preserve">                          
(IELTS-VOCA)</t>
    </r>
  </si>
  <si>
    <t>HARVEY
(IELTS SPEAKING)</t>
  </si>
  <si>
    <t>XI JOHN
(IELTS CLINIC)</t>
  </si>
  <si>
    <t>MARI
(IELTS CLINIC)</t>
  </si>
  <si>
    <r>
      <rPr>
        <sz val="5.5"/>
        <color theme="1"/>
        <rFont val="Tahoma"/>
        <family val="2"/>
      </rPr>
      <t xml:space="preserve">MIRAE LEE
</t>
    </r>
    <r>
      <rPr>
        <b/>
        <sz val="5.5"/>
        <color theme="1"/>
        <rFont val="Tahoma"/>
        <family val="2"/>
      </rPr>
      <t xml:space="preserve">FUTURE (L4) </t>
    </r>
  </si>
  <si>
    <t>GC04</t>
  </si>
  <si>
    <r>
      <rPr>
        <b/>
        <sz val="5.5"/>
        <color theme="1"/>
        <rFont val="Tahoma"/>
        <family val="2"/>
      </rPr>
      <t>JUNE</t>
    </r>
    <r>
      <rPr>
        <sz val="5.5"/>
        <color theme="1"/>
        <rFont val="Tahoma"/>
        <family val="2"/>
      </rPr>
      <t xml:space="preserve"> 
</t>
    </r>
    <r>
      <rPr>
        <b/>
        <sz val="5.5"/>
        <color theme="1"/>
        <rFont val="Tahoma"/>
        <family val="2"/>
      </rPr>
      <t xml:space="preserve"> (ENGLISH IN COMMON 3) - L5</t>
    </r>
  </si>
  <si>
    <r>
      <rPr>
        <b/>
        <sz val="5.5"/>
        <color theme="1"/>
        <rFont val="Tahoma"/>
        <family val="2"/>
      </rPr>
      <t>FLORA MAY</t>
    </r>
    <r>
      <rPr>
        <sz val="5.5"/>
        <color theme="1"/>
        <rFont val="Tahoma"/>
        <family val="2"/>
      </rPr>
      <t xml:space="preserve"> 
</t>
    </r>
    <r>
      <rPr>
        <b/>
        <sz val="5.5"/>
        <color theme="1"/>
        <rFont val="Tahoma"/>
        <family val="2"/>
      </rPr>
      <t>(INTERCHANGE 2) - L5</t>
    </r>
  </si>
  <si>
    <r>
      <rPr>
        <b/>
        <sz val="5.5"/>
        <color theme="1"/>
        <rFont val="Tahoma"/>
        <family val="2"/>
      </rPr>
      <t>FLORA MAY</t>
    </r>
    <r>
      <rPr>
        <sz val="5.5"/>
        <color theme="1"/>
        <rFont val="Tahoma"/>
        <family val="2"/>
      </rPr>
      <t xml:space="preserve"> 
</t>
    </r>
    <r>
      <rPr>
        <b/>
        <sz val="5.5"/>
        <color theme="1"/>
        <rFont val="Tahoma"/>
        <family val="2"/>
      </rPr>
      <t xml:space="preserve"> (INTERCHANGE 3) - L7</t>
    </r>
  </si>
  <si>
    <r>
      <rPr>
        <b/>
        <sz val="5.5"/>
        <color theme="1"/>
        <rFont val="Tahoma"/>
        <family val="2"/>
      </rPr>
      <t>FLORA MAY</t>
    </r>
    <r>
      <rPr>
        <sz val="5.5"/>
        <color theme="1"/>
        <rFont val="Tahoma"/>
        <family val="2"/>
      </rPr>
      <t xml:space="preserve"> 
</t>
    </r>
    <r>
      <rPr>
        <b/>
        <sz val="5.5"/>
        <color theme="1"/>
        <rFont val="Tahoma"/>
        <family val="2"/>
      </rPr>
      <t>(INTERCHANGE 2) - L4</t>
    </r>
  </si>
  <si>
    <t>LUCY         
 (TOUCHSTONE 4) - L7</t>
  </si>
  <si>
    <r>
      <rPr>
        <b/>
        <sz val="5.5"/>
        <color theme="1"/>
        <rFont val="Tahoma"/>
        <family val="2"/>
      </rPr>
      <t>JOVY</t>
    </r>
    <r>
      <rPr>
        <sz val="5.5"/>
        <color theme="1"/>
        <rFont val="Tahoma"/>
        <family val="2"/>
      </rPr>
      <t xml:space="preserve">                    </t>
    </r>
    <r>
      <rPr>
        <b/>
        <sz val="5.5"/>
        <color theme="1"/>
        <rFont val="Tahoma"/>
        <family val="2"/>
      </rPr>
      <t>(INTERCHANGE 1) - L1 -L3</t>
    </r>
  </si>
  <si>
    <r>
      <rPr>
        <b/>
        <sz val="5.5"/>
        <color theme="1"/>
        <rFont val="Tahoma"/>
        <family val="2"/>
      </rPr>
      <t>IRENE</t>
    </r>
    <r>
      <rPr>
        <sz val="5.5"/>
        <color theme="1"/>
        <rFont val="Tahoma"/>
        <family val="2"/>
      </rPr>
      <t xml:space="preserve">               </t>
    </r>
    <r>
      <rPr>
        <b/>
        <sz val="5.5"/>
        <color theme="1"/>
        <rFont val="Tahoma"/>
        <family val="2"/>
      </rPr>
      <t xml:space="preserve"> BUSINESS ENGLISH FUNDAMENTALS</t>
    </r>
  </si>
  <si>
    <r>
      <rPr>
        <sz val="5.5"/>
        <color theme="1"/>
        <rFont val="Tahoma"/>
        <family val="2"/>
      </rPr>
      <t xml:space="preserve">HAN MINJI
</t>
    </r>
    <r>
      <rPr>
        <b/>
        <sz val="5.5"/>
        <color theme="1"/>
        <rFont val="Tahoma"/>
        <family val="2"/>
      </rPr>
      <t>BONNIE (L6)</t>
    </r>
  </si>
  <si>
    <r>
      <t xml:space="preserve">NAKANISHI MAKI
</t>
    </r>
    <r>
      <rPr>
        <b/>
        <sz val="5.5"/>
        <rFont val="Tahoma"/>
        <family val="2"/>
      </rPr>
      <t xml:space="preserve">NOA (L6) </t>
    </r>
  </si>
  <si>
    <t>GC05</t>
  </si>
  <si>
    <r>
      <rPr>
        <b/>
        <sz val="5.5"/>
        <color theme="1"/>
        <rFont val="Tahoma"/>
        <family val="2"/>
      </rPr>
      <t>ROXANNE</t>
    </r>
    <r>
      <rPr>
        <sz val="5.5"/>
        <color theme="1"/>
        <rFont val="Tahoma"/>
        <family val="2"/>
      </rPr>
      <t xml:space="preserve"> 
(</t>
    </r>
    <r>
      <rPr>
        <b/>
        <sz val="5.5"/>
        <color theme="1"/>
        <rFont val="Tahoma"/>
        <family val="2"/>
      </rPr>
      <t>TOUCHSTONE 1) L3</t>
    </r>
  </si>
  <si>
    <r>
      <rPr>
        <b/>
        <sz val="5.5"/>
        <color theme="1"/>
        <rFont val="Tahoma"/>
        <family val="2"/>
      </rPr>
      <t xml:space="preserve">JUNE
</t>
    </r>
    <r>
      <rPr>
        <sz val="5.5"/>
        <color theme="1"/>
        <rFont val="Tahoma"/>
        <family val="2"/>
      </rPr>
      <t>(INTERCHANGE 1) -L3</t>
    </r>
  </si>
  <si>
    <r>
      <rPr>
        <b/>
        <sz val="5.5"/>
        <color theme="1"/>
        <rFont val="Tahoma"/>
        <family val="2"/>
      </rPr>
      <t>MICHAEL</t>
    </r>
    <r>
      <rPr>
        <sz val="5.5"/>
        <color theme="1"/>
        <rFont val="Tahoma"/>
        <family val="2"/>
      </rPr>
      <t xml:space="preserve">   
 </t>
    </r>
    <r>
      <rPr>
        <b/>
        <sz val="5.5"/>
        <color theme="1"/>
        <rFont val="Tahoma"/>
        <family val="2"/>
      </rPr>
      <t>(TOUCHSTONE 2) - L4</t>
    </r>
  </si>
  <si>
    <t>MELISSA
(ACTIVE DISCUSSION) -L3</t>
  </si>
  <si>
    <t>VINZ  (NCE ELEMENTARY) - L2-L3</t>
  </si>
  <si>
    <r>
      <rPr>
        <b/>
        <sz val="5.5"/>
        <color theme="1"/>
        <rFont val="Tahoma"/>
        <family val="2"/>
      </rPr>
      <t xml:space="preserve">APRIL    
 </t>
    </r>
    <r>
      <rPr>
        <sz val="5.5"/>
        <color theme="1"/>
        <rFont val="Tahoma"/>
        <family val="2"/>
      </rPr>
      <t xml:space="preserve"> </t>
    </r>
    <r>
      <rPr>
        <b/>
        <sz val="5.5"/>
        <color theme="1"/>
        <rFont val="Tahoma"/>
        <family val="2"/>
      </rPr>
      <t>(INTERCHAGE 3) - L6</t>
    </r>
  </si>
  <si>
    <t>JOHN         
TOUCHSTONE 1) - L2-L3</t>
  </si>
  <si>
    <t>NADJ
(IELTS CLINIC)</t>
  </si>
  <si>
    <t>HARVEY
(IELTS CLINIC)</t>
  </si>
  <si>
    <r>
      <rPr>
        <sz val="5.5"/>
        <color theme="1"/>
        <rFont val="Tahoma"/>
        <family val="2"/>
      </rPr>
      <t xml:space="preserve">HAN MINSU
</t>
    </r>
    <r>
      <rPr>
        <b/>
        <sz val="5.5"/>
        <color theme="1"/>
        <rFont val="Tahoma"/>
        <family val="2"/>
      </rPr>
      <t>HAN (L1)</t>
    </r>
  </si>
  <si>
    <t>GC14</t>
  </si>
  <si>
    <t>BUSINESS GROUP CLASS
IRENE</t>
  </si>
  <si>
    <r>
      <rPr>
        <b/>
        <sz val="5.5"/>
        <color theme="1"/>
        <rFont val="Tahoma"/>
        <family val="2"/>
      </rPr>
      <t>IRENE</t>
    </r>
    <r>
      <rPr>
        <sz val="5.5"/>
        <color theme="1"/>
        <rFont val="Tahoma"/>
        <family val="2"/>
      </rPr>
      <t xml:space="preserve">               </t>
    </r>
    <r>
      <rPr>
        <b/>
        <sz val="5.5"/>
        <color theme="1"/>
        <rFont val="Tahoma"/>
        <family val="2"/>
      </rPr>
      <t xml:space="preserve"> (INTERCHANGE 2)  -L4</t>
    </r>
  </si>
  <si>
    <t>JO
CALLAN INTERMEDIATE</t>
  </si>
  <si>
    <r>
      <rPr>
        <b/>
        <sz val="5.5"/>
        <color theme="1"/>
        <rFont val="Tahoma"/>
        <family val="2"/>
      </rPr>
      <t>IRENE</t>
    </r>
    <r>
      <rPr>
        <sz val="5.5"/>
        <color theme="1"/>
        <rFont val="Tahoma"/>
        <family val="2"/>
      </rPr>
      <t xml:space="preserve">                                </t>
    </r>
    <r>
      <rPr>
        <b/>
        <sz val="5.5"/>
        <color theme="1"/>
        <rFont val="Tahoma"/>
        <family val="2"/>
      </rPr>
      <t xml:space="preserve"> (INTERCHANGE 2) - L4</t>
    </r>
  </si>
  <si>
    <r>
      <rPr>
        <b/>
        <sz val="5.5"/>
        <color theme="1"/>
        <rFont val="Tahoma"/>
        <family val="2"/>
      </rPr>
      <t>IRENE</t>
    </r>
    <r>
      <rPr>
        <sz val="5.5"/>
        <color theme="1"/>
        <rFont val="Tahoma"/>
        <family val="2"/>
      </rPr>
      <t xml:space="preserve">               </t>
    </r>
    <r>
      <rPr>
        <b/>
        <sz val="5.5"/>
        <color theme="1"/>
        <rFont val="Tahoma"/>
        <family val="2"/>
      </rPr>
      <t xml:space="preserve"> (INTERCHANGE 2)  -L5</t>
    </r>
  </si>
  <si>
    <r>
      <rPr>
        <b/>
        <sz val="5.5"/>
        <color theme="1"/>
        <rFont val="Tahoma"/>
        <family val="2"/>
      </rPr>
      <t>APRIL</t>
    </r>
    <r>
      <rPr>
        <sz val="5.5"/>
        <color theme="1"/>
        <rFont val="Tahoma"/>
        <family val="2"/>
      </rPr>
      <t xml:space="preserve">          
 </t>
    </r>
    <r>
      <rPr>
        <b/>
        <sz val="5.5"/>
        <color theme="1"/>
        <rFont val="Tahoma"/>
        <family val="2"/>
      </rPr>
      <t>(INTERCHANGE 2) - L5</t>
    </r>
  </si>
  <si>
    <r>
      <rPr>
        <b/>
        <sz val="5.5"/>
        <color theme="1"/>
        <rFont val="Tahoma"/>
        <family val="2"/>
      </rPr>
      <t>ROY</t>
    </r>
    <r>
      <rPr>
        <sz val="5.5"/>
        <color theme="1"/>
        <rFont val="Tahoma"/>
        <family val="2"/>
      </rPr>
      <t xml:space="preserve">                          </t>
    </r>
    <r>
      <rPr>
        <b/>
        <sz val="5.5"/>
        <color theme="1"/>
        <rFont val="Tahoma"/>
        <family val="2"/>
      </rPr>
      <t>(IMPACT TOPICS) - L4</t>
    </r>
  </si>
  <si>
    <r>
      <rPr>
        <sz val="5.5"/>
        <rFont val="Tahoma"/>
        <family val="2"/>
      </rPr>
      <t xml:space="preserve">RYOMA UECHI
</t>
    </r>
    <r>
      <rPr>
        <b/>
        <sz val="5.5"/>
        <rFont val="Tahoma"/>
        <family val="2"/>
      </rPr>
      <t xml:space="preserve">RYO (L4) </t>
    </r>
  </si>
  <si>
    <r>
      <rPr>
        <sz val="5.5"/>
        <rFont val="Tahoma"/>
        <family val="2"/>
      </rPr>
      <t xml:space="preserve">NGUYEN DUC HOANG
</t>
    </r>
    <r>
      <rPr>
        <b/>
        <sz val="5.5"/>
        <rFont val="Tahoma"/>
        <family val="2"/>
      </rPr>
      <t>VICTOR (L4)</t>
    </r>
  </si>
  <si>
    <r>
      <rPr>
        <sz val="5.5"/>
        <rFont val="Tahoma"/>
        <family val="2"/>
      </rPr>
      <t xml:space="preserve">MAKO SAKAMOTO
</t>
    </r>
    <r>
      <rPr>
        <b/>
        <sz val="5.5"/>
        <rFont val="Tahoma"/>
        <family val="2"/>
      </rPr>
      <t>MAKO (L4)</t>
    </r>
  </si>
  <si>
    <t>GC06</t>
  </si>
  <si>
    <r>
      <rPr>
        <b/>
        <sz val="5.5"/>
        <color theme="1"/>
        <rFont val="Tahoma"/>
        <family val="2"/>
      </rPr>
      <t>CHAN CHAN</t>
    </r>
    <r>
      <rPr>
        <sz val="5.5"/>
        <color theme="1"/>
        <rFont val="Tahoma"/>
        <family val="2"/>
      </rPr>
      <t xml:space="preserve">                
</t>
    </r>
    <r>
      <rPr>
        <b/>
        <sz val="5.5"/>
        <color theme="1"/>
        <rFont val="Tahoma"/>
        <family val="2"/>
      </rPr>
      <t>(HIGH IMPACT) - L4</t>
    </r>
  </si>
  <si>
    <r>
      <rPr>
        <b/>
        <sz val="5.5"/>
        <color theme="1"/>
        <rFont val="Tahoma"/>
        <family val="2"/>
      </rPr>
      <t>JAMES</t>
    </r>
    <r>
      <rPr>
        <sz val="5.5"/>
        <color theme="1"/>
        <rFont val="Tahoma"/>
        <family val="2"/>
      </rPr>
      <t xml:space="preserve">             </t>
    </r>
    <r>
      <rPr>
        <b/>
        <sz val="5.5"/>
        <color theme="1"/>
        <rFont val="Tahoma"/>
        <family val="2"/>
      </rPr>
      <t>(ITOUCHSTONE 2) - L4-L5</t>
    </r>
  </si>
  <si>
    <r>
      <rPr>
        <b/>
        <sz val="5.5"/>
        <color theme="1"/>
        <rFont val="Tahoma"/>
        <family val="2"/>
      </rPr>
      <t>MONS</t>
    </r>
    <r>
      <rPr>
        <sz val="5.5"/>
        <color theme="1"/>
        <rFont val="Tahoma"/>
        <family val="2"/>
      </rPr>
      <t xml:space="preserve">                          </t>
    </r>
    <r>
      <rPr>
        <b/>
        <sz val="5.5"/>
        <color theme="1"/>
        <rFont val="Tahoma"/>
        <family val="2"/>
      </rPr>
      <t>(INTERCHANGE 1) - L2-L3</t>
    </r>
  </si>
  <si>
    <t>LEONA                     
(NCE INTERMEDIATE) - L6</t>
  </si>
  <si>
    <r>
      <rPr>
        <sz val="5.5"/>
        <color theme="1"/>
        <rFont val="Tahoma"/>
        <family val="2"/>
      </rPr>
      <t xml:space="preserve">HUANG ZHI HAO
</t>
    </r>
    <r>
      <rPr>
        <b/>
        <sz val="5.5"/>
        <color theme="1"/>
        <rFont val="Tahoma"/>
        <family val="2"/>
      </rPr>
      <t xml:space="preserve">HOWARD (L1) </t>
    </r>
  </si>
  <si>
    <r>
      <rPr>
        <b/>
        <sz val="5.5"/>
        <color theme="1"/>
        <rFont val="Tahoma"/>
        <family val="2"/>
      </rPr>
      <t xml:space="preserve">DAVE                                                             </t>
    </r>
    <r>
      <rPr>
        <sz val="5.5"/>
        <color theme="1"/>
        <rFont val="Tahoma"/>
        <family val="2"/>
      </rPr>
      <t xml:space="preserve"> (B2-I1)</t>
    </r>
  </si>
  <si>
    <r>
      <rPr>
        <b/>
        <sz val="5.5"/>
        <color theme="1"/>
        <rFont val="Tahoma"/>
        <family val="2"/>
      </rPr>
      <t xml:space="preserve">DAVE                                                           </t>
    </r>
    <r>
      <rPr>
        <sz val="5.5"/>
        <color theme="1"/>
        <rFont val="Tahoma"/>
        <family val="2"/>
      </rPr>
      <t xml:space="preserve"> (B2-I1)</t>
    </r>
  </si>
  <si>
    <r>
      <rPr>
        <b/>
        <sz val="5.5"/>
        <color theme="1"/>
        <rFont val="Tahoma"/>
        <family val="2"/>
      </rPr>
      <t xml:space="preserve">ANJIE                           </t>
    </r>
    <r>
      <rPr>
        <sz val="5.5"/>
        <color theme="1"/>
        <rFont val="Tahoma"/>
        <family val="2"/>
      </rPr>
      <t xml:space="preserve"> (B2-I1)</t>
    </r>
  </si>
  <si>
    <r>
      <rPr>
        <b/>
        <sz val="5.5"/>
        <color theme="1"/>
        <rFont val="Tahoma"/>
        <family val="2"/>
      </rPr>
      <t xml:space="preserve">DAVE                          
</t>
    </r>
    <r>
      <rPr>
        <sz val="5.5"/>
        <color theme="1"/>
        <rFont val="Tahoma"/>
        <family val="2"/>
      </rPr>
      <t>(B2-I1)</t>
    </r>
  </si>
  <si>
    <r>
      <rPr>
        <b/>
        <sz val="5.5"/>
        <color theme="1"/>
        <rFont val="Tahoma"/>
        <family val="2"/>
      </rPr>
      <t xml:space="preserve">ANJIE                                                                   </t>
    </r>
    <r>
      <rPr>
        <sz val="5.5"/>
        <color theme="1"/>
        <rFont val="Tahoma"/>
        <family val="2"/>
      </rPr>
      <t xml:space="preserve"> (B2-I1)</t>
    </r>
  </si>
  <si>
    <r>
      <rPr>
        <b/>
        <sz val="5.5"/>
        <color theme="1"/>
        <rFont val="Tahoma"/>
        <family val="2"/>
      </rPr>
      <t xml:space="preserve">ANJIE                                                                 </t>
    </r>
    <r>
      <rPr>
        <sz val="5.5"/>
        <color theme="1"/>
        <rFont val="Tahoma"/>
        <family val="2"/>
      </rPr>
      <t xml:space="preserve"> (B2-I1)</t>
    </r>
  </si>
  <si>
    <r>
      <rPr>
        <b/>
        <sz val="5.5"/>
        <color theme="1"/>
        <rFont val="Tahoma"/>
        <family val="2"/>
      </rPr>
      <t>FRANCIS</t>
    </r>
    <r>
      <rPr>
        <sz val="5.5"/>
        <color theme="1"/>
        <rFont val="Tahoma"/>
        <family val="2"/>
      </rPr>
      <t xml:space="preserve">                   </t>
    </r>
    <r>
      <rPr>
        <b/>
        <sz val="5.5"/>
        <color theme="1"/>
        <rFont val="Tahoma"/>
        <family val="2"/>
      </rPr>
      <t xml:space="preserve"> (IMPACT TOPICS) - L4</t>
    </r>
  </si>
  <si>
    <r>
      <rPr>
        <sz val="5.5"/>
        <rFont val="Tahoma"/>
        <family val="2"/>
      </rPr>
      <t xml:space="preserve">NAKANISHI MAKI
</t>
    </r>
    <r>
      <rPr>
        <b/>
        <sz val="5.5"/>
        <rFont val="Tahoma"/>
        <family val="2"/>
      </rPr>
      <t xml:space="preserve">NOA (L6) </t>
    </r>
  </si>
  <si>
    <t>CLINIC</t>
  </si>
  <si>
    <t>ROOM</t>
  </si>
  <si>
    <t>CON. A</t>
  </si>
  <si>
    <r>
      <rPr>
        <b/>
        <sz val="6"/>
        <rFont val="Tahoma"/>
        <family val="2"/>
      </rPr>
      <t>EVERYDAY IDIOMS AND EXPRESSIONS</t>
    </r>
    <r>
      <rPr>
        <sz val="6"/>
        <rFont val="Tahoma"/>
        <family val="2"/>
      </rPr>
      <t xml:space="preserve">               
 (GENEVEB) L3-L5</t>
    </r>
  </si>
  <si>
    <r>
      <rPr>
        <b/>
        <sz val="6"/>
        <rFont val="Tahoma"/>
        <family val="2"/>
      </rPr>
      <t>PRESENTATION 1</t>
    </r>
    <r>
      <rPr>
        <sz val="6"/>
        <rFont val="Tahoma"/>
        <family val="2"/>
      </rPr>
      <t xml:space="preserve">                   (SHIENA) L6-L9</t>
    </r>
  </si>
  <si>
    <r>
      <rPr>
        <b/>
        <sz val="6"/>
        <rFont val="Tahoma"/>
        <family val="2"/>
      </rPr>
      <t>COMMUNICATION A-Z 3</t>
    </r>
    <r>
      <rPr>
        <sz val="6"/>
        <rFont val="Tahoma"/>
        <family val="2"/>
      </rPr>
      <t xml:space="preserve"> (HENLEY) L4-L9</t>
    </r>
  </si>
  <si>
    <r>
      <rPr>
        <b/>
        <sz val="6"/>
        <rFont val="Tahoma"/>
        <family val="2"/>
      </rPr>
      <t>BUSINESS ENGLISH</t>
    </r>
    <r>
      <rPr>
        <sz val="6"/>
        <rFont val="Tahoma"/>
        <family val="2"/>
      </rPr>
      <t xml:space="preserve"> PART 3 (GRACE) L6-L9</t>
    </r>
  </si>
  <si>
    <r>
      <rPr>
        <b/>
        <sz val="6"/>
        <rFont val="Tahoma"/>
        <family val="2"/>
      </rPr>
      <t>CINEMA FOCUS</t>
    </r>
    <r>
      <rPr>
        <sz val="6"/>
        <rFont val="Tahoma"/>
        <family val="2"/>
      </rPr>
      <t xml:space="preserve"> (HENLEY) L4-L9</t>
    </r>
  </si>
  <si>
    <r>
      <rPr>
        <b/>
        <sz val="6"/>
        <rFont val="Tahoma"/>
        <family val="2"/>
      </rPr>
      <t>HELLO POPS</t>
    </r>
    <r>
      <rPr>
        <sz val="6"/>
        <rFont val="Tahoma"/>
        <family val="2"/>
      </rPr>
      <t xml:space="preserve">                          (ROY) L2-L8</t>
    </r>
  </si>
  <si>
    <r>
      <rPr>
        <b/>
        <sz val="6"/>
        <rFont val="Tahoma"/>
        <family val="2"/>
      </rPr>
      <t xml:space="preserve">AMERICAN ACCENT TRAINING 1                                       </t>
    </r>
    <r>
      <rPr>
        <sz val="6"/>
        <rFont val="Tahoma"/>
        <family val="2"/>
      </rPr>
      <t xml:space="preserve"> (RAME) L3-L5</t>
    </r>
  </si>
  <si>
    <r>
      <rPr>
        <b/>
        <sz val="6"/>
        <rFont val="Tahoma"/>
        <family val="2"/>
      </rPr>
      <t>COMMUNICATION A-Z 3</t>
    </r>
    <r>
      <rPr>
        <sz val="6"/>
        <rFont val="Tahoma"/>
        <family val="2"/>
      </rPr>
      <t xml:space="preserve">                                                                           (JIM) L3-L5</t>
    </r>
  </si>
  <si>
    <r>
      <rPr>
        <b/>
        <sz val="6"/>
        <rFont val="Tahoma"/>
        <family val="2"/>
      </rPr>
      <t>AMERICAN ACCENT TRAINING 2</t>
    </r>
    <r>
      <rPr>
        <sz val="6"/>
        <rFont val="Tahoma"/>
        <family val="2"/>
      </rPr>
      <t xml:space="preserve">                              (KEVIN) L3-L5</t>
    </r>
  </si>
  <si>
    <r>
      <rPr>
        <b/>
        <sz val="6"/>
        <rFont val="Tahoma"/>
        <family val="2"/>
      </rPr>
      <t>EVERYDAY IDIOMS AND EXPRESSIONS</t>
    </r>
    <r>
      <rPr>
        <sz val="6"/>
        <rFont val="Tahoma"/>
        <family val="2"/>
      </rPr>
      <t xml:space="preserve">                (MELISSA) L3-L5</t>
    </r>
  </si>
  <si>
    <r>
      <rPr>
        <sz val="5.5"/>
        <color theme="1"/>
        <rFont val="Tahoma"/>
        <family val="2"/>
      </rPr>
      <t xml:space="preserve">NISHIO KANAMI
</t>
    </r>
    <r>
      <rPr>
        <b/>
        <sz val="5.5"/>
        <color theme="1"/>
        <rFont val="Tahoma"/>
        <family val="2"/>
      </rPr>
      <t xml:space="preserve">KANA (L5) </t>
    </r>
  </si>
  <si>
    <r>
      <rPr>
        <sz val="5.5"/>
        <color theme="1"/>
        <rFont val="Tahoma"/>
        <family val="2"/>
      </rPr>
      <t xml:space="preserve">MARUOKA JUNKO
</t>
    </r>
    <r>
      <rPr>
        <b/>
        <sz val="5.5"/>
        <color theme="1"/>
        <rFont val="Tahoma"/>
        <family val="2"/>
      </rPr>
      <t xml:space="preserve">JUNKO (L3) </t>
    </r>
  </si>
  <si>
    <r>
      <t xml:space="preserve">UEZU RYO
</t>
    </r>
    <r>
      <rPr>
        <b/>
        <sz val="5.5"/>
        <color theme="1"/>
        <rFont val="Tahoma"/>
        <family val="2"/>
      </rPr>
      <t>LIO (L4)</t>
    </r>
  </si>
  <si>
    <r>
      <rPr>
        <sz val="5.5"/>
        <color theme="1"/>
        <rFont val="Tahoma"/>
        <family val="2"/>
      </rPr>
      <t xml:space="preserve">KIM DONGHYUN
</t>
    </r>
    <r>
      <rPr>
        <b/>
        <sz val="5.5"/>
        <color theme="1"/>
        <rFont val="Tahoma"/>
        <family val="2"/>
      </rPr>
      <t xml:space="preserve">KYLE (L6) </t>
    </r>
  </si>
  <si>
    <r>
      <rPr>
        <sz val="5.5"/>
        <color theme="1"/>
        <rFont val="Tahoma"/>
        <family val="2"/>
      </rPr>
      <t xml:space="preserve">MAYU FUJIWARA
</t>
    </r>
    <r>
      <rPr>
        <b/>
        <sz val="5.5"/>
        <color theme="1"/>
        <rFont val="Tahoma"/>
        <family val="2"/>
      </rPr>
      <t xml:space="preserve">MAYU (L4) </t>
    </r>
  </si>
  <si>
    <r>
      <rPr>
        <sz val="5.5"/>
        <color theme="1"/>
        <rFont val="Tahoma"/>
        <family val="2"/>
      </rPr>
      <t xml:space="preserve">RIKU SAKAMOTO
</t>
    </r>
    <r>
      <rPr>
        <b/>
        <sz val="5.5"/>
        <color theme="1"/>
        <rFont val="Tahoma"/>
        <family val="2"/>
      </rPr>
      <t xml:space="preserve">RIKU (L6) </t>
    </r>
  </si>
  <si>
    <r>
      <rPr>
        <sz val="5.5"/>
        <color theme="1"/>
        <rFont val="Tahoma"/>
        <family val="2"/>
      </rPr>
      <t xml:space="preserve">YANG JUNGHEE
</t>
    </r>
    <r>
      <rPr>
        <b/>
        <sz val="5.5"/>
        <color theme="1"/>
        <rFont val="Tahoma"/>
        <family val="2"/>
      </rPr>
      <t xml:space="preserve">VIVIAN (L3) </t>
    </r>
  </si>
  <si>
    <r>
      <rPr>
        <sz val="5.5"/>
        <color theme="1"/>
        <rFont val="Tahoma"/>
        <family val="2"/>
      </rPr>
      <t xml:space="preserve">PARK, HEECHUL
</t>
    </r>
    <r>
      <rPr>
        <b/>
        <sz val="5.5"/>
        <color theme="1"/>
        <rFont val="Tahoma"/>
        <family val="2"/>
      </rPr>
      <t xml:space="preserve">CHUCK (L3) </t>
    </r>
  </si>
  <si>
    <t>SELF-STUDY ROOM</t>
  </si>
  <si>
    <t>SELF STUDY ROOM</t>
  </si>
  <si>
    <r>
      <rPr>
        <sz val="5.5"/>
        <color theme="1"/>
        <rFont val="Tahoma"/>
        <family val="2"/>
      </rPr>
      <t>WU MU SUNG</t>
    </r>
    <r>
      <rPr>
        <b/>
        <sz val="5.5"/>
        <color theme="1"/>
        <rFont val="Tahoma"/>
        <family val="2"/>
      </rPr>
      <t xml:space="preserve">
PIPI (L4) </t>
    </r>
  </si>
  <si>
    <r>
      <rPr>
        <sz val="5.5"/>
        <color theme="1"/>
        <rFont val="Tahoma"/>
        <family val="2"/>
      </rPr>
      <t xml:space="preserve">WEI CHU CHUN
</t>
    </r>
    <r>
      <rPr>
        <b/>
        <sz val="5.5"/>
        <color theme="1"/>
        <rFont val="Tahoma"/>
        <family val="2"/>
      </rPr>
      <t xml:space="preserve">JING (L4) </t>
    </r>
  </si>
  <si>
    <r>
      <rPr>
        <sz val="5.5"/>
        <color theme="1"/>
        <rFont val="Tahoma"/>
        <family val="2"/>
      </rPr>
      <t xml:space="preserve">TRAN THI THUY HONG
</t>
    </r>
    <r>
      <rPr>
        <b/>
        <sz val="5.5"/>
        <color theme="1"/>
        <rFont val="Tahoma"/>
        <family val="2"/>
      </rPr>
      <t xml:space="preserve">TRAN (L2) </t>
    </r>
  </si>
  <si>
    <r>
      <rPr>
        <sz val="5.5"/>
        <color theme="1"/>
        <rFont val="Tahoma"/>
        <family val="2"/>
      </rPr>
      <t xml:space="preserve">JEE JAE UK
</t>
    </r>
    <r>
      <rPr>
        <b/>
        <sz val="5.5"/>
        <color theme="1"/>
        <rFont val="Tahoma"/>
        <family val="2"/>
      </rPr>
      <t xml:space="preserve">EVAN (L5) </t>
    </r>
  </si>
  <si>
    <r>
      <rPr>
        <sz val="5.5"/>
        <color theme="1"/>
        <rFont val="Tahoma"/>
        <family val="2"/>
      </rPr>
      <t xml:space="preserve">ISOZAKI YUKA
</t>
    </r>
    <r>
      <rPr>
        <b/>
        <sz val="5.5"/>
        <color theme="1"/>
        <rFont val="Tahoma"/>
        <family val="2"/>
      </rPr>
      <t xml:space="preserve">ICE (L3) </t>
    </r>
  </si>
  <si>
    <r>
      <rPr>
        <sz val="5.5"/>
        <color theme="1"/>
        <rFont val="Tahoma"/>
        <family val="2"/>
      </rPr>
      <t xml:space="preserve">LEE GEUNYEON
</t>
    </r>
    <r>
      <rPr>
        <b/>
        <sz val="5.5"/>
        <color theme="1"/>
        <rFont val="Tahoma"/>
        <family val="2"/>
      </rPr>
      <t xml:space="preserve">STEVEN YEON (L4) </t>
    </r>
  </si>
  <si>
    <r>
      <rPr>
        <sz val="5.5"/>
        <color theme="1"/>
        <rFont val="Tahoma"/>
        <family val="2"/>
      </rPr>
      <t xml:space="preserve">TATSUMI CHISATO
</t>
    </r>
    <r>
      <rPr>
        <b/>
        <sz val="5.5"/>
        <color theme="1"/>
        <rFont val="Tahoma"/>
        <family val="2"/>
      </rPr>
      <t xml:space="preserve">CHII (L4) </t>
    </r>
  </si>
  <si>
    <r>
      <rPr>
        <sz val="5.5"/>
        <color theme="1"/>
        <rFont val="Tahoma"/>
        <family val="2"/>
      </rPr>
      <t xml:space="preserve">HASHIMOTO HIROMI
</t>
    </r>
    <r>
      <rPr>
        <b/>
        <sz val="5.5"/>
        <color theme="1"/>
        <rFont val="Tahoma"/>
        <family val="2"/>
      </rPr>
      <t xml:space="preserve">MIX (L3) </t>
    </r>
  </si>
  <si>
    <r>
      <rPr>
        <sz val="5.5"/>
        <color theme="1"/>
        <rFont val="Tahoma"/>
        <family val="2"/>
      </rPr>
      <t>HATORI</t>
    </r>
    <r>
      <rPr>
        <sz val="5.5"/>
        <color theme="1"/>
        <rFont val="SimSun"/>
      </rPr>
      <t>　</t>
    </r>
    <r>
      <rPr>
        <sz val="5.5"/>
        <color theme="1"/>
        <rFont val="Tahoma"/>
        <family val="2"/>
      </rPr>
      <t xml:space="preserve">YUKA
</t>
    </r>
    <r>
      <rPr>
        <b/>
        <sz val="5.5"/>
        <color theme="1"/>
        <rFont val="Tahoma"/>
        <family val="2"/>
      </rPr>
      <t xml:space="preserve">YUKA (L4) </t>
    </r>
  </si>
  <si>
    <r>
      <rPr>
        <sz val="5.5"/>
        <color theme="1"/>
        <rFont val="Tahoma"/>
        <family val="2"/>
      </rPr>
      <t xml:space="preserve">KITAMURA TAKUMI
</t>
    </r>
    <r>
      <rPr>
        <b/>
        <sz val="5.5"/>
        <color theme="1"/>
        <rFont val="Tahoma"/>
        <family val="2"/>
      </rPr>
      <t xml:space="preserve">TAKUMI (L5) </t>
    </r>
  </si>
  <si>
    <r>
      <rPr>
        <sz val="5.5"/>
        <color theme="1"/>
        <rFont val="Tahoma"/>
        <family val="2"/>
      </rPr>
      <t>EMURA YUI</t>
    </r>
    <r>
      <rPr>
        <b/>
        <sz val="5.5"/>
        <color theme="1"/>
        <rFont val="Tahoma"/>
        <family val="2"/>
      </rPr>
      <t xml:space="preserve">
EMURA (L5) </t>
    </r>
  </si>
  <si>
    <r>
      <rPr>
        <sz val="5.5"/>
        <color theme="1"/>
        <rFont val="Tahoma"/>
        <family val="2"/>
      </rPr>
      <t xml:space="preserve">OH JOO HEE
</t>
    </r>
    <r>
      <rPr>
        <b/>
        <sz val="5.5"/>
        <color theme="1"/>
        <rFont val="Tahoma"/>
        <family val="2"/>
      </rPr>
      <t xml:space="preserve">LUCIA (L5) </t>
    </r>
  </si>
  <si>
    <r>
      <rPr>
        <sz val="5.5"/>
        <color theme="1"/>
        <rFont val="Tahoma"/>
        <family val="2"/>
      </rPr>
      <t xml:space="preserve">ABDULHAMID ALSULAIMANI
</t>
    </r>
    <r>
      <rPr>
        <b/>
        <sz val="5.5"/>
        <color theme="1"/>
        <rFont val="Tahoma"/>
        <family val="2"/>
      </rPr>
      <t xml:space="preserve">MEEDO (L3) </t>
    </r>
  </si>
  <si>
    <r>
      <rPr>
        <sz val="5.5"/>
        <color theme="1"/>
        <rFont val="Tahoma"/>
        <family val="2"/>
      </rPr>
      <t xml:space="preserve">KIMEUNJUNG
</t>
    </r>
    <r>
      <rPr>
        <b/>
        <sz val="5.5"/>
        <color theme="1"/>
        <rFont val="Tahoma"/>
        <family val="2"/>
      </rPr>
      <t xml:space="preserve">MISA (L3) </t>
    </r>
  </si>
  <si>
    <r>
      <rPr>
        <sz val="5.5"/>
        <color theme="1"/>
        <rFont val="Tahoma"/>
        <family val="2"/>
      </rPr>
      <t xml:space="preserve">HSIAO TIEN HSIN
</t>
    </r>
    <r>
      <rPr>
        <b/>
        <sz val="5.5"/>
        <color theme="1"/>
        <rFont val="Tahoma"/>
        <family val="2"/>
      </rPr>
      <t xml:space="preserve">LISA HSIAO (L3) </t>
    </r>
  </si>
  <si>
    <r>
      <rPr>
        <sz val="5.5"/>
        <color theme="1"/>
        <rFont val="Tahoma"/>
        <family val="2"/>
      </rPr>
      <t xml:space="preserve">LEEKYUNGSUN
</t>
    </r>
    <r>
      <rPr>
        <b/>
        <sz val="5.5"/>
        <color theme="1"/>
        <rFont val="Tahoma"/>
        <family val="2"/>
      </rPr>
      <t xml:space="preserve">SUNNY (l3) </t>
    </r>
  </si>
  <si>
    <r>
      <rPr>
        <sz val="5.5"/>
        <color theme="1"/>
        <rFont val="Tahoma"/>
        <family val="2"/>
      </rPr>
      <t xml:space="preserve">JEONG-GEUN LEE
</t>
    </r>
    <r>
      <rPr>
        <b/>
        <sz val="5.5"/>
        <color theme="1"/>
        <rFont val="Tahoma"/>
        <family val="2"/>
      </rPr>
      <t xml:space="preserve">JAMES (L4) </t>
    </r>
  </si>
  <si>
    <r>
      <rPr>
        <sz val="5.5"/>
        <color theme="1"/>
        <rFont val="Tahoma"/>
        <family val="2"/>
      </rPr>
      <t xml:space="preserve">KIMJIHYE
</t>
    </r>
    <r>
      <rPr>
        <b/>
        <sz val="5.5"/>
        <color theme="1"/>
        <rFont val="Tahoma"/>
        <family val="2"/>
      </rPr>
      <t xml:space="preserve">JEA JEA (L4) </t>
    </r>
  </si>
  <si>
    <r>
      <rPr>
        <sz val="5.5"/>
        <color theme="1"/>
        <rFont val="Tahoma"/>
        <family val="2"/>
      </rPr>
      <t xml:space="preserve">ABDULMALEK OMAR
</t>
    </r>
    <r>
      <rPr>
        <b/>
        <sz val="5.5"/>
        <color theme="1"/>
        <rFont val="Tahoma"/>
        <family val="2"/>
      </rPr>
      <t xml:space="preserve">MALEK (L3) </t>
    </r>
  </si>
  <si>
    <r>
      <rPr>
        <sz val="5.5"/>
        <color theme="1"/>
        <rFont val="Tahoma"/>
        <family val="2"/>
      </rPr>
      <t xml:space="preserve">SUZUKI RYUSEI
</t>
    </r>
    <r>
      <rPr>
        <b/>
        <sz val="5.5"/>
        <color theme="1"/>
        <rFont val="Tahoma"/>
        <family val="2"/>
      </rPr>
      <t xml:space="preserve">RYU (L2) </t>
    </r>
  </si>
  <si>
    <r>
      <rPr>
        <sz val="5.5"/>
        <color theme="1"/>
        <rFont val="Tahoma"/>
        <family val="2"/>
      </rPr>
      <t xml:space="preserve">JEE JAE UK
</t>
    </r>
    <r>
      <rPr>
        <b/>
        <sz val="5.5"/>
        <color theme="1"/>
        <rFont val="Tahoma"/>
        <family val="2"/>
      </rPr>
      <t>EVAN (L5) (R)</t>
    </r>
  </si>
  <si>
    <r>
      <rPr>
        <sz val="5.5"/>
        <color theme="1"/>
        <rFont val="Tahoma"/>
        <family val="2"/>
      </rPr>
      <t xml:space="preserve">TAMURA MAMIKO
</t>
    </r>
    <r>
      <rPr>
        <b/>
        <sz val="5.5"/>
        <color theme="1"/>
        <rFont val="Tahoma"/>
        <family val="2"/>
      </rPr>
      <t xml:space="preserve">MAMIKO (L6) </t>
    </r>
  </si>
  <si>
    <r>
      <rPr>
        <sz val="5.5"/>
        <color theme="1"/>
        <rFont val="Tahoma"/>
        <family val="2"/>
      </rPr>
      <t xml:space="preserve">LU YEH HSIN
</t>
    </r>
    <r>
      <rPr>
        <b/>
        <sz val="5.5"/>
        <color theme="1"/>
        <rFont val="Tahoma"/>
        <family val="2"/>
      </rPr>
      <t xml:space="preserve">LUME (L4) </t>
    </r>
  </si>
  <si>
    <r>
      <rPr>
        <sz val="5.5"/>
        <color theme="1"/>
        <rFont val="Tahoma"/>
        <family val="2"/>
      </rPr>
      <t xml:space="preserve">LYDARYE
</t>
    </r>
    <r>
      <rPr>
        <b/>
        <sz val="5.5"/>
        <color theme="1"/>
        <rFont val="Tahoma"/>
        <family val="2"/>
      </rPr>
      <t xml:space="preserve">SELINA (L2) </t>
    </r>
  </si>
  <si>
    <r>
      <rPr>
        <sz val="5.5"/>
        <color theme="1"/>
        <rFont val="Tahoma"/>
        <family val="2"/>
      </rPr>
      <t xml:space="preserve">JEON HYUNGJUN
</t>
    </r>
    <r>
      <rPr>
        <b/>
        <sz val="5.5"/>
        <color theme="1"/>
        <rFont val="Tahoma"/>
        <family val="2"/>
      </rPr>
      <t xml:space="preserve">JAKE (L5) </t>
    </r>
  </si>
  <si>
    <r>
      <rPr>
        <sz val="5.5"/>
        <color theme="1"/>
        <rFont val="Tahoma"/>
        <family val="2"/>
      </rPr>
      <t xml:space="preserve">HO JUI CHE
</t>
    </r>
    <r>
      <rPr>
        <b/>
        <sz val="5.5"/>
        <color theme="1"/>
        <rFont val="Tahoma"/>
        <family val="2"/>
      </rPr>
      <t xml:space="preserve">JIMMY (L4) </t>
    </r>
  </si>
  <si>
    <r>
      <rPr>
        <sz val="5.5"/>
        <color theme="1"/>
        <rFont val="Tahoma"/>
        <family val="2"/>
      </rPr>
      <t xml:space="preserve">SHIN KYUNG MI
</t>
    </r>
    <r>
      <rPr>
        <b/>
        <sz val="5.5"/>
        <color theme="1"/>
        <rFont val="Tahoma"/>
        <family val="2"/>
      </rPr>
      <t>LINA (L3) (R)</t>
    </r>
  </si>
  <si>
    <r>
      <rPr>
        <sz val="5.5"/>
        <color theme="1"/>
        <rFont val="Tahoma"/>
        <family val="2"/>
      </rPr>
      <t xml:space="preserve">LEE AHREUM 
</t>
    </r>
    <r>
      <rPr>
        <b/>
        <sz val="5.5"/>
        <color theme="1"/>
        <rFont val="Tahoma"/>
        <family val="2"/>
      </rPr>
      <t xml:space="preserve">ANGELA (L3) </t>
    </r>
  </si>
  <si>
    <r>
      <rPr>
        <sz val="5.5"/>
        <color theme="1"/>
        <rFont val="Tahoma"/>
        <family val="2"/>
      </rPr>
      <t xml:space="preserve">EUNKYUNG PARK
</t>
    </r>
    <r>
      <rPr>
        <b/>
        <sz val="5.5"/>
        <color theme="1"/>
        <rFont val="Tahoma"/>
        <family val="2"/>
      </rPr>
      <t xml:space="preserve">LISA (L3) </t>
    </r>
  </si>
  <si>
    <r>
      <rPr>
        <sz val="5.5"/>
        <color theme="1"/>
        <rFont val="Tahoma"/>
        <family val="2"/>
      </rPr>
      <t xml:space="preserve">JANG BOYOUNG
</t>
    </r>
    <r>
      <rPr>
        <b/>
        <sz val="5.5"/>
        <color theme="1"/>
        <rFont val="Tahoma"/>
        <family val="2"/>
      </rPr>
      <t xml:space="preserve">RAILY (L4) </t>
    </r>
  </si>
  <si>
    <r>
      <rPr>
        <sz val="5.5"/>
        <color theme="1"/>
        <rFont val="Tahoma"/>
        <family val="2"/>
      </rPr>
      <t xml:space="preserve">CHEN CHING TING
</t>
    </r>
    <r>
      <rPr>
        <b/>
        <sz val="5.5"/>
        <color theme="1"/>
        <rFont val="Tahoma"/>
        <family val="2"/>
      </rPr>
      <t xml:space="preserve">FION CHEN (L3) </t>
    </r>
  </si>
  <si>
    <r>
      <rPr>
        <sz val="5.5"/>
        <color theme="1"/>
        <rFont val="Tahoma"/>
        <family val="2"/>
      </rPr>
      <t xml:space="preserve">WANG WAN TING
</t>
    </r>
    <r>
      <rPr>
        <b/>
        <sz val="5.5"/>
        <color theme="1"/>
        <rFont val="Tahoma"/>
        <family val="2"/>
      </rPr>
      <t xml:space="preserve">IVY (L4) </t>
    </r>
  </si>
  <si>
    <r>
      <rPr>
        <sz val="5.5"/>
        <color theme="1"/>
        <rFont val="Tahoma"/>
        <family val="2"/>
      </rPr>
      <t xml:space="preserve">LIN PIN SYUAN
</t>
    </r>
    <r>
      <rPr>
        <b/>
        <sz val="5.5"/>
        <color theme="1"/>
        <rFont val="Tahoma"/>
        <family val="2"/>
      </rPr>
      <t xml:space="preserve">ZITA LIN (L5) </t>
    </r>
  </si>
  <si>
    <r>
      <rPr>
        <sz val="5.5"/>
        <color theme="1"/>
        <rFont val="Tahoma"/>
        <family val="2"/>
      </rPr>
      <t xml:space="preserve">OH SOOEUN
</t>
    </r>
    <r>
      <rPr>
        <b/>
        <sz val="5.5"/>
        <color theme="1"/>
        <rFont val="Tahoma"/>
        <family val="2"/>
      </rPr>
      <t xml:space="preserve">SYUNI (L4) </t>
    </r>
  </si>
  <si>
    <r>
      <rPr>
        <sz val="5.5"/>
        <color theme="1"/>
        <rFont val="Tahoma"/>
        <family val="2"/>
      </rPr>
      <t xml:space="preserve">CHIKAMOTO YURIKO
</t>
    </r>
    <r>
      <rPr>
        <b/>
        <sz val="5.5"/>
        <color theme="1"/>
        <rFont val="Tahoma"/>
        <family val="2"/>
      </rPr>
      <t xml:space="preserve">JUDY (L4) </t>
    </r>
  </si>
  <si>
    <r>
      <rPr>
        <sz val="5.5"/>
        <color theme="1"/>
        <rFont val="Tahoma"/>
        <family val="2"/>
      </rPr>
      <t xml:space="preserve">YAO ANN YAUN
</t>
    </r>
    <r>
      <rPr>
        <b/>
        <sz val="5.5"/>
        <color theme="1"/>
        <rFont val="Tahoma"/>
        <family val="2"/>
      </rPr>
      <t xml:space="preserve">ANN (L4) </t>
    </r>
  </si>
  <si>
    <r>
      <rPr>
        <sz val="5.5"/>
        <color theme="1"/>
        <rFont val="Tahoma"/>
        <family val="2"/>
      </rPr>
      <t xml:space="preserve">KITA AKANE
</t>
    </r>
    <r>
      <rPr>
        <b/>
        <sz val="5.5"/>
        <color theme="1"/>
        <rFont val="Tahoma"/>
        <family val="2"/>
      </rPr>
      <t xml:space="preserve">AKA (L4) </t>
    </r>
  </si>
  <si>
    <r>
      <rPr>
        <sz val="5.5"/>
        <color theme="1"/>
        <rFont val="Tahoma"/>
        <family val="2"/>
      </rPr>
      <t xml:space="preserve">ALZAHRANI, ABDULRAHMAN 
</t>
    </r>
    <r>
      <rPr>
        <b/>
        <sz val="5.5"/>
        <color theme="1"/>
        <rFont val="Tahoma"/>
        <family val="2"/>
      </rPr>
      <t xml:space="preserve">ALBERT (L3) </t>
    </r>
  </si>
  <si>
    <r>
      <rPr>
        <sz val="5.5"/>
        <color theme="1"/>
        <rFont val="Tahoma"/>
        <family val="2"/>
      </rPr>
      <t xml:space="preserve">SHIOKAWA RIHO
</t>
    </r>
    <r>
      <rPr>
        <b/>
        <sz val="5.5"/>
        <color theme="1"/>
        <rFont val="Tahoma"/>
        <family val="2"/>
      </rPr>
      <t xml:space="preserve">RIHO (L4) </t>
    </r>
  </si>
  <si>
    <r>
      <rPr>
        <sz val="5.5"/>
        <color theme="1"/>
        <rFont val="Tahoma"/>
        <family val="2"/>
      </rPr>
      <t xml:space="preserve">YASUKA OKADA
</t>
    </r>
    <r>
      <rPr>
        <b/>
        <sz val="5.5"/>
        <color theme="1"/>
        <rFont val="Tahoma"/>
        <family val="2"/>
      </rPr>
      <t xml:space="preserve">YASUKA (L5) </t>
    </r>
  </si>
  <si>
    <r>
      <rPr>
        <sz val="5.5"/>
        <color theme="1"/>
        <rFont val="Tahoma"/>
        <family val="2"/>
      </rPr>
      <t xml:space="preserve">LEEKWANGPIL
</t>
    </r>
    <r>
      <rPr>
        <b/>
        <sz val="5.5"/>
        <color theme="1"/>
        <rFont val="Tahoma"/>
        <family val="2"/>
      </rPr>
      <t xml:space="preserve">PHILIP (L5) </t>
    </r>
  </si>
  <si>
    <r>
      <rPr>
        <sz val="5.5"/>
        <color theme="1"/>
        <rFont val="Tahoma"/>
        <family val="2"/>
      </rPr>
      <t xml:space="preserve">KAO KAI TING
</t>
    </r>
    <r>
      <rPr>
        <b/>
        <sz val="5.5"/>
        <color theme="1"/>
        <rFont val="Tahoma"/>
        <family val="2"/>
      </rPr>
      <t xml:space="preserve">JOSH (L2) </t>
    </r>
  </si>
  <si>
    <r>
      <rPr>
        <sz val="5.5"/>
        <color theme="1"/>
        <rFont val="Tahoma"/>
        <family val="2"/>
      </rPr>
      <t xml:space="preserve">LEE SIJUNE
</t>
    </r>
    <r>
      <rPr>
        <b/>
        <sz val="5.5"/>
        <color theme="1"/>
        <rFont val="Tahoma"/>
        <family val="2"/>
      </rPr>
      <t xml:space="preserve">SIJUNE (L5) </t>
    </r>
  </si>
  <si>
    <r>
      <rPr>
        <sz val="5.5"/>
        <color theme="1"/>
        <rFont val="Tahoma"/>
        <family val="2"/>
      </rPr>
      <t xml:space="preserve">HAN MINSU
</t>
    </r>
    <r>
      <rPr>
        <b/>
        <sz val="5.5"/>
        <color theme="1"/>
        <rFont val="Tahoma"/>
        <family val="2"/>
      </rPr>
      <t xml:space="preserve">HAN (L1) </t>
    </r>
  </si>
  <si>
    <r>
      <rPr>
        <sz val="5.5"/>
        <color theme="1"/>
        <rFont val="Tahoma"/>
        <family val="2"/>
      </rPr>
      <t xml:space="preserve">RINA ANDO
</t>
    </r>
    <r>
      <rPr>
        <b/>
        <sz val="5.5"/>
        <color theme="1"/>
        <rFont val="Tahoma"/>
        <family val="2"/>
      </rPr>
      <t xml:space="preserve">SORA (L5) </t>
    </r>
  </si>
  <si>
    <r>
      <t xml:space="preserve">YURI CHOI
</t>
    </r>
    <r>
      <rPr>
        <b/>
        <sz val="5.5"/>
        <color theme="1"/>
        <rFont val="Tahoma"/>
        <family val="2"/>
      </rPr>
      <t xml:space="preserve">DOROTHY (L4) </t>
    </r>
  </si>
  <si>
    <r>
      <rPr>
        <sz val="5.5"/>
        <color theme="1"/>
        <rFont val="Tahoma"/>
        <family val="2"/>
      </rPr>
      <t xml:space="preserve">MINJI KANG
</t>
    </r>
    <r>
      <rPr>
        <b/>
        <sz val="5.5"/>
        <color theme="1"/>
        <rFont val="Tahoma"/>
        <family val="2"/>
      </rPr>
      <t xml:space="preserve">JENNA (L6) </t>
    </r>
  </si>
  <si>
    <r>
      <rPr>
        <sz val="5.5"/>
        <color theme="1"/>
        <rFont val="Tahoma"/>
        <family val="2"/>
      </rPr>
      <t xml:space="preserve">YAMASHITA ERIKA
</t>
    </r>
    <r>
      <rPr>
        <b/>
        <sz val="5.5"/>
        <color theme="1"/>
        <rFont val="Tahoma"/>
        <family val="2"/>
      </rPr>
      <t xml:space="preserve">ELLY (L5) </t>
    </r>
  </si>
  <si>
    <r>
      <rPr>
        <sz val="5.5"/>
        <color theme="1"/>
        <rFont val="Tahoma"/>
        <family val="2"/>
      </rPr>
      <t xml:space="preserve">HANDA TADAYOSHI
</t>
    </r>
    <r>
      <rPr>
        <b/>
        <sz val="5.5"/>
        <color theme="1"/>
        <rFont val="Tahoma"/>
        <family val="2"/>
      </rPr>
      <t xml:space="preserve">YORI (L4) </t>
    </r>
  </si>
  <si>
    <r>
      <rPr>
        <sz val="5.5"/>
        <color theme="1"/>
        <rFont val="Tahoma"/>
        <family val="2"/>
      </rPr>
      <t xml:space="preserve">GU LIN HUI
</t>
    </r>
    <r>
      <rPr>
        <b/>
        <sz val="5.5"/>
        <color theme="1"/>
        <rFont val="Tahoma"/>
        <family val="2"/>
      </rPr>
      <t xml:space="preserve">AMY GU (L5) </t>
    </r>
  </si>
  <si>
    <r>
      <rPr>
        <sz val="5.5"/>
        <color theme="1"/>
        <rFont val="Tahoma"/>
        <family val="2"/>
      </rPr>
      <t xml:space="preserve">HAN MINJI
</t>
    </r>
    <r>
      <rPr>
        <b/>
        <sz val="5.5"/>
        <color theme="1"/>
        <rFont val="Tahoma"/>
        <family val="2"/>
      </rPr>
      <t xml:space="preserve">BONNIE (L6) </t>
    </r>
  </si>
  <si>
    <r>
      <rPr>
        <sz val="5.5"/>
        <color theme="1"/>
        <rFont val="Tahoma"/>
        <family val="2"/>
      </rPr>
      <t xml:space="preserve">ALAMMAJ FAISAL
</t>
    </r>
    <r>
      <rPr>
        <b/>
        <sz val="5.5"/>
        <color theme="1"/>
        <rFont val="Tahoma"/>
        <family val="2"/>
      </rPr>
      <t xml:space="preserve">FAISAL (L3) </t>
    </r>
  </si>
  <si>
    <r>
      <rPr>
        <sz val="5.5"/>
        <color theme="1"/>
        <rFont val="Tahoma"/>
        <family val="2"/>
      </rPr>
      <t xml:space="preserve">YU TSUNG YEH
</t>
    </r>
    <r>
      <rPr>
        <b/>
        <sz val="5.5"/>
        <color theme="1"/>
        <rFont val="Tahoma"/>
        <family val="2"/>
      </rPr>
      <t xml:space="preserve">MARK (L6) </t>
    </r>
  </si>
  <si>
    <r>
      <rPr>
        <sz val="5.5"/>
        <color theme="1"/>
        <rFont val="Tahoma"/>
        <family val="2"/>
      </rPr>
      <t>IM KIYEONG</t>
    </r>
    <r>
      <rPr>
        <b/>
        <sz val="5.5"/>
        <color theme="1"/>
        <rFont val="Tahoma"/>
        <family val="2"/>
      </rPr>
      <t xml:space="preserve">
JOHN MICHAEL (L5) </t>
    </r>
  </si>
  <si>
    <r>
      <rPr>
        <sz val="5.5"/>
        <color theme="1"/>
        <rFont val="Tahoma"/>
        <family val="2"/>
      </rPr>
      <t xml:space="preserve">JANG SUNG WON
</t>
    </r>
    <r>
      <rPr>
        <b/>
        <sz val="5.5"/>
        <color theme="1"/>
        <rFont val="Tahoma"/>
        <family val="2"/>
      </rPr>
      <t xml:space="preserve">ANDREAS (L5) </t>
    </r>
  </si>
  <si>
    <r>
      <rPr>
        <sz val="5.5"/>
        <color theme="1"/>
        <rFont val="Tahoma"/>
        <family val="2"/>
      </rPr>
      <t xml:space="preserve">SAKI OKUMURA
</t>
    </r>
    <r>
      <rPr>
        <b/>
        <sz val="5.5"/>
        <color theme="1"/>
        <rFont val="Tahoma"/>
        <family val="2"/>
      </rPr>
      <t xml:space="preserve">SASSA (L3) </t>
    </r>
  </si>
  <si>
    <r>
      <rPr>
        <sz val="5.5"/>
        <color theme="1"/>
        <rFont val="Tahoma"/>
        <family val="2"/>
      </rPr>
      <t xml:space="preserve">KIM JISU
</t>
    </r>
    <r>
      <rPr>
        <b/>
        <sz val="5.5"/>
        <color theme="1"/>
        <rFont val="Tahoma"/>
        <family val="2"/>
      </rPr>
      <t xml:space="preserve">JISU (L3) </t>
    </r>
  </si>
  <si>
    <r>
      <rPr>
        <sz val="5.5"/>
        <color theme="1"/>
        <rFont val="Tahoma"/>
        <family val="2"/>
      </rPr>
      <t xml:space="preserve">HIGUCHI KAI
</t>
    </r>
    <r>
      <rPr>
        <b/>
        <sz val="5.5"/>
        <color theme="1"/>
        <rFont val="Tahoma"/>
        <family val="2"/>
      </rPr>
      <t xml:space="preserve">GUCCHI (L5) </t>
    </r>
  </si>
  <si>
    <r>
      <rPr>
        <sz val="5.5"/>
        <color theme="1"/>
        <rFont val="Tahoma"/>
        <family val="2"/>
      </rPr>
      <t xml:space="preserve">KAWAGUCHI KIYOTO
</t>
    </r>
    <r>
      <rPr>
        <b/>
        <sz val="5.5"/>
        <color theme="1"/>
        <rFont val="Tahoma"/>
        <family val="2"/>
      </rPr>
      <t xml:space="preserve">KIYO (L6) </t>
    </r>
  </si>
  <si>
    <r>
      <rPr>
        <sz val="5.5"/>
        <color theme="1"/>
        <rFont val="Tahoma"/>
        <family val="2"/>
      </rPr>
      <t xml:space="preserve">HSU CHAO CHIA
</t>
    </r>
    <r>
      <rPr>
        <b/>
        <sz val="5.5"/>
        <color theme="1"/>
        <rFont val="Tahoma"/>
        <family val="2"/>
      </rPr>
      <t xml:space="preserve">JACK (L4) </t>
    </r>
  </si>
  <si>
    <r>
      <rPr>
        <sz val="5.5"/>
        <color theme="1"/>
        <rFont val="Tahoma"/>
        <family val="2"/>
      </rPr>
      <t xml:space="preserve">KASHIMA YUME
</t>
    </r>
    <r>
      <rPr>
        <b/>
        <sz val="5.5"/>
        <color theme="1"/>
        <rFont val="Tahoma"/>
        <family val="2"/>
      </rPr>
      <t xml:space="preserve">YUME (L4) </t>
    </r>
  </si>
  <si>
    <t>HO THI TRANG</t>
  </si>
  <si>
    <t>SELF-STUDY ROOM (WRITING)</t>
  </si>
  <si>
    <r>
      <rPr>
        <sz val="5.5"/>
        <color theme="1"/>
        <rFont val="Tahoma"/>
        <family val="2"/>
      </rPr>
      <t xml:space="preserve">YURI CHOI
</t>
    </r>
    <r>
      <rPr>
        <b/>
        <sz val="5.5"/>
        <color theme="1"/>
        <rFont val="Tahoma"/>
        <family val="2"/>
      </rPr>
      <t xml:space="preserve">DOROTHY (L4) </t>
    </r>
  </si>
  <si>
    <t xml:space="preserve">IELTS WRITING SELF-STUDY ROOM </t>
  </si>
  <si>
    <t>SKILLS LEGEND(1:1)</t>
  </si>
  <si>
    <t>LISTENING/SPEAKING</t>
  </si>
  <si>
    <t xml:space="preserve">READING/WRITING </t>
  </si>
  <si>
    <r>
      <t xml:space="preserve">LE ANH HUY 
</t>
    </r>
    <r>
      <rPr>
        <b/>
        <sz val="5.5"/>
        <color rgb="FF000000"/>
        <rFont val="Tahoma"/>
        <family val="2"/>
      </rPr>
      <t>BILL</t>
    </r>
  </si>
  <si>
    <r>
      <t xml:space="preserve">NOMURA TAKUMI
</t>
    </r>
    <r>
      <rPr>
        <b/>
        <sz val="5.5"/>
        <color theme="1"/>
        <rFont val="Tahoma"/>
        <family val="2"/>
      </rPr>
      <t>MURA (L5) (S)</t>
    </r>
  </si>
  <si>
    <r>
      <t xml:space="preserve">NOMURA TAKUMI
</t>
    </r>
    <r>
      <rPr>
        <b/>
        <sz val="5.5"/>
        <color theme="1"/>
        <rFont val="Tahoma"/>
        <family val="2"/>
      </rPr>
      <t>MURA (L5) (W) (Max)</t>
    </r>
  </si>
  <si>
    <r>
      <t xml:space="preserve">CHIHO KASAISHI
</t>
    </r>
    <r>
      <rPr>
        <b/>
        <sz val="5.5"/>
        <rFont val="Tahoma"/>
        <family val="2"/>
      </rPr>
      <t xml:space="preserve">CHIHO (L4) </t>
    </r>
  </si>
  <si>
    <r>
      <t xml:space="preserve">NGUYEN CAM NGAN
</t>
    </r>
    <r>
      <rPr>
        <b/>
        <sz val="5.5"/>
        <rFont val="Tahoma"/>
        <family val="2"/>
      </rPr>
      <t>CASSIE</t>
    </r>
  </si>
  <si>
    <r>
      <t xml:space="preserve">KWONHANJIN
</t>
    </r>
    <r>
      <rPr>
        <b/>
        <sz val="5.5"/>
        <color theme="1"/>
        <rFont val="Tahoma"/>
        <family val="2"/>
      </rPr>
      <t xml:space="preserve">HANJIN (L5) </t>
    </r>
  </si>
  <si>
    <r>
      <t xml:space="preserve">MAKO SAKAMOTO
</t>
    </r>
    <r>
      <rPr>
        <b/>
        <sz val="5.5"/>
        <rFont val="Tahoma"/>
        <family val="2"/>
      </rPr>
      <t xml:space="preserve">MAKO (L4) </t>
    </r>
  </si>
  <si>
    <r>
      <t xml:space="preserve">ABDULHAMID ALSULAIMANI
</t>
    </r>
    <r>
      <rPr>
        <b/>
        <sz val="5.5"/>
        <color theme="1"/>
        <rFont val="Tahoma"/>
        <family val="2"/>
      </rPr>
      <t>MEEDO (L3) (W)</t>
    </r>
  </si>
  <si>
    <r>
      <t xml:space="preserve">SATO YURIKA
</t>
    </r>
    <r>
      <rPr>
        <b/>
        <sz val="5.5"/>
        <rFont val="Tahoma"/>
        <family val="2"/>
      </rPr>
      <t xml:space="preserve">YURIKA (L3) </t>
    </r>
  </si>
  <si>
    <r>
      <t xml:space="preserve">CHEN PO HUNG
</t>
    </r>
    <r>
      <rPr>
        <b/>
        <sz val="5.5"/>
        <rFont val="Tahoma"/>
        <family val="2"/>
      </rPr>
      <t>VIN (L4)</t>
    </r>
  </si>
  <si>
    <r>
      <t xml:space="preserve">LIN PIN SYUAN
</t>
    </r>
    <r>
      <rPr>
        <b/>
        <sz val="5.5"/>
        <color theme="1"/>
        <rFont val="Tahoma"/>
        <family val="2"/>
      </rPr>
      <t>ZITA LIN (L5) (S)</t>
    </r>
  </si>
  <si>
    <r>
      <t xml:space="preserve">HOU CHI HONG
</t>
    </r>
    <r>
      <rPr>
        <b/>
        <sz val="5.5"/>
        <rFont val="Tahoma"/>
        <family val="2"/>
      </rPr>
      <t>MATT HOU (L5) (S)</t>
    </r>
  </si>
  <si>
    <r>
      <t xml:space="preserve">KIMTAEYEONG
</t>
    </r>
    <r>
      <rPr>
        <b/>
        <sz val="5.5"/>
        <color theme="1"/>
        <rFont val="Tahoma"/>
        <family val="2"/>
      </rPr>
      <t>WALDORF (L2) (L)</t>
    </r>
  </si>
  <si>
    <r>
      <t xml:space="preserve">PARK SOYE
</t>
    </r>
    <r>
      <rPr>
        <b/>
        <sz val="5.5"/>
        <color theme="1"/>
        <rFont val="Tahoma"/>
        <family val="2"/>
      </rPr>
      <t>SOYE (L3) (S)</t>
    </r>
  </si>
  <si>
    <r>
      <t xml:space="preserve">MINAGAWA HAYATO
</t>
    </r>
    <r>
      <rPr>
        <b/>
        <sz val="5.5"/>
        <rFont val="Tahoma"/>
        <family val="2"/>
      </rPr>
      <t xml:space="preserve">HAYA (L4) </t>
    </r>
  </si>
  <si>
    <r>
      <t xml:space="preserve">MAKO SAKAMOTO
</t>
    </r>
    <r>
      <rPr>
        <b/>
        <sz val="5.5"/>
        <rFont val="Tahoma"/>
        <family val="2"/>
      </rPr>
      <t>MAKO (L4)</t>
    </r>
  </si>
  <si>
    <r>
      <t xml:space="preserve">LEE NAKYEONG
</t>
    </r>
    <r>
      <rPr>
        <b/>
        <sz val="5.5"/>
        <rFont val="Tahoma"/>
        <family val="2"/>
      </rPr>
      <t xml:space="preserve">RAINA (L2) </t>
    </r>
  </si>
  <si>
    <r>
      <t xml:space="preserve">SEO JEONGHEE
</t>
    </r>
    <r>
      <rPr>
        <b/>
        <sz val="5.5"/>
        <rFont val="Tahoma"/>
        <family val="2"/>
      </rPr>
      <t xml:space="preserve">MIRANDA (L2) </t>
    </r>
  </si>
  <si>
    <r>
      <t xml:space="preserve">LEE SE HYUN
</t>
    </r>
    <r>
      <rPr>
        <b/>
        <sz val="5.5"/>
        <rFont val="Tahoma"/>
        <family val="2"/>
      </rPr>
      <t>LEE (L4) (L)</t>
    </r>
  </si>
  <si>
    <r>
      <t xml:space="preserve">IIDA SAYAKA
</t>
    </r>
    <r>
      <rPr>
        <b/>
        <sz val="5.5"/>
        <rFont val="Tahoma"/>
        <family val="2"/>
      </rPr>
      <t>SAYAKA (L5)</t>
    </r>
  </si>
  <si>
    <r>
      <t xml:space="preserve">LEE SE HYUN
</t>
    </r>
    <r>
      <rPr>
        <b/>
        <sz val="5.5"/>
        <rFont val="Tahoma"/>
        <family val="2"/>
      </rPr>
      <t>LEE (L4)</t>
    </r>
  </si>
  <si>
    <r>
      <t>HYUN JOON AHN</t>
    </r>
    <r>
      <rPr>
        <b/>
        <sz val="5.5"/>
        <rFont val="Tahoma"/>
        <family val="2"/>
      </rPr>
      <t xml:space="preserve">
JOON (L6) </t>
    </r>
  </si>
  <si>
    <r>
      <rPr>
        <sz val="5.5"/>
        <color theme="1"/>
        <rFont val="Tahoma"/>
        <family val="2"/>
      </rPr>
      <t xml:space="preserve">UCHIDA ARIMI
</t>
    </r>
    <r>
      <rPr>
        <b/>
        <sz val="5.5"/>
        <color theme="1"/>
        <rFont val="Tahoma"/>
        <family val="2"/>
      </rPr>
      <t xml:space="preserve">ARIMI (L3) </t>
    </r>
  </si>
  <si>
    <r>
      <rPr>
        <sz val="5.5"/>
        <color theme="1"/>
        <rFont val="Tahoma"/>
        <family val="2"/>
      </rPr>
      <t xml:space="preserve">CHANG CHENG TA
</t>
    </r>
    <r>
      <rPr>
        <b/>
        <sz val="5.5"/>
        <color theme="1"/>
        <rFont val="Tahoma"/>
        <family val="2"/>
      </rPr>
      <t>ANDY (L5)</t>
    </r>
  </si>
  <si>
    <r>
      <t xml:space="preserve">MISUMI AKI
</t>
    </r>
    <r>
      <rPr>
        <b/>
        <sz val="5.5"/>
        <rFont val="Tahoma"/>
        <family val="2"/>
      </rPr>
      <t>AKI (L4)</t>
    </r>
  </si>
  <si>
    <r>
      <t xml:space="preserve">LEE SIIN
</t>
    </r>
    <r>
      <rPr>
        <b/>
        <sz val="5.5"/>
        <color theme="1"/>
        <rFont val="Tahoma"/>
        <family val="2"/>
      </rPr>
      <t>CINDY (L2)</t>
    </r>
  </si>
  <si>
    <r>
      <t xml:space="preserve">ALZAHRANI, HAMZAH ALI </t>
    </r>
    <r>
      <rPr>
        <b/>
        <sz val="5.5"/>
        <color rgb="FF000000"/>
        <rFont val="Tahoma"/>
        <family val="2"/>
      </rPr>
      <t>HAMZAH</t>
    </r>
  </si>
  <si>
    <r>
      <t xml:space="preserve">LEE SE HYUN
</t>
    </r>
    <r>
      <rPr>
        <b/>
        <sz val="5.5"/>
        <rFont val="Tahoma"/>
        <family val="2"/>
      </rPr>
      <t xml:space="preserve">LEE (L4) </t>
    </r>
  </si>
  <si>
    <r>
      <t xml:space="preserve">NGUYEN THI PHUONG UYEN </t>
    </r>
    <r>
      <rPr>
        <b/>
        <sz val="5.5"/>
        <rFont val="Tahoma"/>
        <family val="2"/>
      </rPr>
      <t>ROSE</t>
    </r>
  </si>
  <si>
    <r>
      <t xml:space="preserve">ALZAHRANI, HAMZAH ALI A </t>
    </r>
    <r>
      <rPr>
        <b/>
        <sz val="5.5"/>
        <color rgb="FF000000"/>
        <rFont val="Tahoma"/>
        <family val="2"/>
      </rPr>
      <t>HAMZAH</t>
    </r>
  </si>
  <si>
    <r>
      <t xml:space="preserve">TAKENAGA NOZOMI
</t>
    </r>
    <r>
      <rPr>
        <b/>
        <sz val="5.5"/>
        <rFont val="Tahoma"/>
        <family val="2"/>
      </rPr>
      <t>NANCY (L6)</t>
    </r>
  </si>
  <si>
    <r>
      <t xml:space="preserve">SUGAWARA YU
</t>
    </r>
    <r>
      <rPr>
        <b/>
        <sz val="5.5"/>
        <rFont val="Tahoma"/>
        <family val="2"/>
      </rPr>
      <t>YU (L3) (L)</t>
    </r>
  </si>
  <si>
    <r>
      <t xml:space="preserve">TRAN THI THUY HONG
</t>
    </r>
    <r>
      <rPr>
        <b/>
        <sz val="5.5"/>
        <color theme="1"/>
        <rFont val="Tahoma"/>
        <family val="2"/>
      </rPr>
      <t>TRAN (L2)</t>
    </r>
  </si>
  <si>
    <r>
      <t xml:space="preserve">NGUYEN DUC HOANG
</t>
    </r>
    <r>
      <rPr>
        <b/>
        <sz val="5.5"/>
        <rFont val="Tahoma"/>
        <family val="2"/>
      </rPr>
      <t xml:space="preserve">VICTOR (L4) </t>
    </r>
  </si>
  <si>
    <r>
      <t xml:space="preserve">LE THI BICH THUY
</t>
    </r>
    <r>
      <rPr>
        <b/>
        <sz val="5.5"/>
        <rFont val="Tahoma"/>
        <family val="2"/>
      </rPr>
      <t>JENNY (L3)</t>
    </r>
  </si>
  <si>
    <r>
      <t xml:space="preserve">LEE HYUN SEON
</t>
    </r>
    <r>
      <rPr>
        <b/>
        <sz val="5.5"/>
        <color theme="1"/>
        <rFont val="Tahoma"/>
        <family val="2"/>
      </rPr>
      <t>JULIA (L5)</t>
    </r>
  </si>
  <si>
    <r>
      <t xml:space="preserve">KU DO HEE
</t>
    </r>
    <r>
      <rPr>
        <b/>
        <sz val="5.5"/>
        <rFont val="Tahoma"/>
        <family val="2"/>
      </rPr>
      <t>HAYLEE</t>
    </r>
  </si>
  <si>
    <r>
      <t xml:space="preserve">LAN YI FEI
</t>
    </r>
    <r>
      <rPr>
        <b/>
        <sz val="5.5"/>
        <color theme="1"/>
        <rFont val="Tahoma"/>
        <family val="2"/>
      </rPr>
      <t>BLUE (L4)</t>
    </r>
  </si>
  <si>
    <r>
      <t xml:space="preserve">LEE JUHUN
</t>
    </r>
    <r>
      <rPr>
        <b/>
        <sz val="5.5"/>
        <rFont val="Tahoma"/>
        <family val="2"/>
      </rPr>
      <t>ABRAHAM (L5)(R)M68</t>
    </r>
  </si>
  <si>
    <r>
      <t xml:space="preserve">YASUMATSU HANAKO
</t>
    </r>
    <r>
      <rPr>
        <b/>
        <sz val="5.5"/>
        <rFont val="Tahoma"/>
        <family val="2"/>
      </rPr>
      <t>HANAKO (L6) (R) M09</t>
    </r>
  </si>
  <si>
    <r>
      <t xml:space="preserve">LEE JOU HWAN
</t>
    </r>
    <r>
      <rPr>
        <b/>
        <sz val="5.5"/>
        <rFont val="Tahoma"/>
        <family val="2"/>
      </rPr>
      <t>JU (L5) (W) 
M115</t>
    </r>
  </si>
  <si>
    <r>
      <t xml:space="preserve">WATANABE CHIE
</t>
    </r>
    <r>
      <rPr>
        <b/>
        <sz val="5.5"/>
        <rFont val="Tahoma"/>
        <family val="2"/>
      </rPr>
      <t>CHI (L2) (W) M115</t>
    </r>
  </si>
  <si>
    <r>
      <t xml:space="preserve">MIYAGAWA SATOKO
</t>
    </r>
    <r>
      <rPr>
        <b/>
        <sz val="5.5"/>
        <color theme="1"/>
        <rFont val="Tahoma"/>
        <family val="2"/>
      </rPr>
      <t xml:space="preserve"> SATOKO (L3) (L) </t>
    </r>
  </si>
  <si>
    <r>
      <t xml:space="preserve">YASUMATSU HANAKO
</t>
    </r>
    <r>
      <rPr>
        <b/>
        <sz val="5.5"/>
        <rFont val="Tahoma"/>
        <family val="2"/>
      </rPr>
      <t xml:space="preserve">HANAKO (L6) (S) M122 </t>
    </r>
  </si>
  <si>
    <r>
      <t xml:space="preserve">HUANG ZHI HAO
</t>
    </r>
    <r>
      <rPr>
        <b/>
        <sz val="5.5"/>
        <color theme="1"/>
        <rFont val="Tahoma"/>
        <family val="2"/>
      </rPr>
      <t>HOWARD (L1) (W) JO M84</t>
    </r>
  </si>
  <si>
    <r>
      <t xml:space="preserve">OSHIRO RYO
</t>
    </r>
    <r>
      <rPr>
        <b/>
        <sz val="5.5"/>
        <color theme="1"/>
        <rFont val="Tahoma"/>
        <family val="2"/>
      </rPr>
      <t>OSHIRO (L4) (R) M04</t>
    </r>
  </si>
  <si>
    <r>
      <t xml:space="preserve">BAEINHEE
</t>
    </r>
    <r>
      <rPr>
        <b/>
        <sz val="5.5"/>
        <color theme="1"/>
        <rFont val="Tahoma"/>
        <family val="2"/>
      </rPr>
      <t>HENRY (L5) (R) M04</t>
    </r>
  </si>
  <si>
    <r>
      <t xml:space="preserve">MAKO SAKAMOTO
</t>
    </r>
    <r>
      <rPr>
        <b/>
        <sz val="5.5"/>
        <rFont val="Tahoma"/>
        <family val="2"/>
      </rPr>
      <t>MAKO (L4) (R) M02</t>
    </r>
  </si>
  <si>
    <r>
      <t xml:space="preserve">ISHIZAKI YURI
</t>
    </r>
    <r>
      <rPr>
        <b/>
        <sz val="5.5"/>
        <rFont val="Tahoma"/>
        <family val="2"/>
      </rPr>
      <t>YURI (L6)(L)</t>
    </r>
  </si>
  <si>
    <r>
      <t xml:space="preserve">MISUMI AKI
</t>
    </r>
    <r>
      <rPr>
        <b/>
        <sz val="5.5"/>
        <rFont val="Tahoma"/>
        <family val="2"/>
      </rPr>
      <t>AKI (L4) (S)</t>
    </r>
  </si>
  <si>
    <r>
      <t xml:space="preserve">IIDA SAYAKA
</t>
    </r>
    <r>
      <rPr>
        <b/>
        <sz val="5.5"/>
        <rFont val="Tahoma"/>
        <family val="2"/>
      </rPr>
      <t>SAYAKA (L5) (W)</t>
    </r>
  </si>
  <si>
    <r>
      <t xml:space="preserve">YASUMATSU HANAKO
</t>
    </r>
    <r>
      <rPr>
        <b/>
        <sz val="5.5"/>
        <rFont val="Tahoma"/>
        <family val="2"/>
      </rPr>
      <t xml:space="preserve">HANAKO (L6) (W) </t>
    </r>
  </si>
  <si>
    <r>
      <t xml:space="preserve">KU DO HEE
</t>
    </r>
    <r>
      <rPr>
        <b/>
        <sz val="5.5"/>
        <color theme="1"/>
        <rFont val="Tahoma"/>
        <family val="2"/>
      </rPr>
      <t>HAYLEE</t>
    </r>
  </si>
  <si>
    <r>
      <t xml:space="preserve">KU DO HEE
</t>
    </r>
    <r>
      <rPr>
        <b/>
        <sz val="5.5"/>
        <color rgb="FF000000"/>
        <rFont val="Tahoma"/>
        <family val="2"/>
      </rPr>
      <t>HAYLEE</t>
    </r>
  </si>
  <si>
    <r>
      <t xml:space="preserve">KWONHANJIN
</t>
    </r>
    <r>
      <rPr>
        <b/>
        <sz val="5.5"/>
        <color theme="1"/>
        <rFont val="Tahoma"/>
        <family val="2"/>
      </rPr>
      <t>HANJIN (L5) (W)</t>
    </r>
  </si>
  <si>
    <r>
      <t xml:space="preserve">NGUYEN THI THUY NGA
</t>
    </r>
    <r>
      <rPr>
        <b/>
        <sz val="5.5"/>
        <color theme="1"/>
        <rFont val="Tahoma"/>
        <family val="2"/>
      </rPr>
      <t xml:space="preserve">ANNIE (L4) </t>
    </r>
  </si>
  <si>
    <r>
      <t xml:space="preserve">LE FUONG THAO
</t>
    </r>
    <r>
      <rPr>
        <b/>
        <sz val="5.5"/>
        <rFont val="Tahoma"/>
        <family val="2"/>
      </rPr>
      <t>BUN</t>
    </r>
  </si>
  <si>
    <r>
      <t xml:space="preserve">LE FUONG THAO
</t>
    </r>
    <r>
      <rPr>
        <b/>
        <sz val="5.5"/>
        <color theme="1"/>
        <rFont val="Tahoma"/>
        <family val="2"/>
      </rPr>
      <t>BUN</t>
    </r>
  </si>
  <si>
    <r>
      <t xml:space="preserve">KITAMURA TAKUMI
</t>
    </r>
    <r>
      <rPr>
        <b/>
        <sz val="5.5"/>
        <color theme="1"/>
        <rFont val="Tahoma"/>
        <family val="2"/>
      </rPr>
      <t xml:space="preserve">TAKUMI (L5) </t>
    </r>
  </si>
  <si>
    <r>
      <t>YAMASHITA</t>
    </r>
    <r>
      <rPr>
        <sz val="5.5"/>
        <color theme="1"/>
        <rFont val="Tahoma"/>
        <family val="2"/>
      </rPr>
      <t xml:space="preserve">MOMOKO
</t>
    </r>
    <r>
      <rPr>
        <b/>
        <sz val="5.5"/>
        <color theme="1"/>
        <rFont val="Tahoma"/>
        <family val="2"/>
      </rPr>
      <t xml:space="preserve">SELENA (L6) </t>
    </r>
  </si>
  <si>
    <r>
      <t xml:space="preserve">YAMASHITA </t>
    </r>
    <r>
      <rPr>
        <sz val="5.5"/>
        <color theme="1"/>
        <rFont val="Tahoma"/>
        <family val="2"/>
      </rPr>
      <t xml:space="preserve">MOMOKO
</t>
    </r>
    <r>
      <rPr>
        <b/>
        <sz val="5.5"/>
        <color theme="1"/>
        <rFont val="Tahoma"/>
        <family val="2"/>
      </rPr>
      <t xml:space="preserve">SELENA (L6) </t>
    </r>
  </si>
  <si>
    <r>
      <t xml:space="preserve">TAHIR ALBAIDHNI
</t>
    </r>
    <r>
      <rPr>
        <b/>
        <sz val="5.5"/>
        <rFont val="Times New Roman"/>
        <family val="1"/>
      </rPr>
      <t>TAHIR (L3) (L)</t>
    </r>
  </si>
  <si>
    <r>
      <t xml:space="preserve">TAHIR ALBAIDHNI
</t>
    </r>
    <r>
      <rPr>
        <b/>
        <sz val="5.5"/>
        <rFont val="Times New Roman"/>
        <family val="1"/>
      </rPr>
      <t>TAHIR (L3) (S)</t>
    </r>
  </si>
  <si>
    <r>
      <t xml:space="preserve">TAHIR ALBAIDHNI
</t>
    </r>
    <r>
      <rPr>
        <b/>
        <sz val="5.5"/>
        <rFont val="Times New Roman"/>
        <family val="1"/>
      </rPr>
      <t>TAHIR (L3) (W)</t>
    </r>
  </si>
  <si>
    <r>
      <t xml:space="preserve">YOSHIOKA SAAYA
</t>
    </r>
    <r>
      <rPr>
        <b/>
        <sz val="5.5"/>
        <rFont val="Tahoma"/>
        <family val="2"/>
      </rPr>
      <t>SAAYA (L5)</t>
    </r>
  </si>
  <si>
    <r>
      <t xml:space="preserve">YOSHIOKA SAAYA
</t>
    </r>
    <r>
      <rPr>
        <b/>
        <sz val="5.5"/>
        <rFont val="Tahoma"/>
        <family val="2"/>
      </rPr>
      <t>SAAYA (L5) (S)</t>
    </r>
  </si>
  <si>
    <r>
      <t xml:space="preserve">YOSHIOKA SAAYA
</t>
    </r>
    <r>
      <rPr>
        <b/>
        <sz val="5.5"/>
        <rFont val="Tahoma"/>
        <family val="2"/>
      </rPr>
      <t>SAAYA (L5) (L)</t>
    </r>
  </si>
  <si>
    <r>
      <t xml:space="preserve">YOSHIOKA SAAYA
</t>
    </r>
    <r>
      <rPr>
        <b/>
        <sz val="5.5"/>
        <rFont val="Tahoma"/>
        <family val="2"/>
      </rPr>
      <t>SAAYA (L5) (W)</t>
    </r>
  </si>
  <si>
    <r>
      <t xml:space="preserve">YOSHIOKA SAAYA
</t>
    </r>
    <r>
      <rPr>
        <b/>
        <sz val="5.5"/>
        <rFont val="Tahoma"/>
        <family val="2"/>
      </rPr>
      <t>SAAYA (L5) (R)</t>
    </r>
  </si>
  <si>
    <r>
      <t xml:space="preserve">NISHIOKA KAYO
</t>
    </r>
    <r>
      <rPr>
        <b/>
        <sz val="5.5"/>
        <color theme="1"/>
        <rFont val="Tahoma"/>
        <family val="2"/>
      </rPr>
      <t>LILY (L4) (W)</t>
    </r>
  </si>
  <si>
    <r>
      <t xml:space="preserve">CHEN MEI PING
</t>
    </r>
    <r>
      <rPr>
        <b/>
        <sz val="5.5"/>
        <rFont val="Tahoma"/>
        <family val="2"/>
      </rPr>
      <t>IVY CHEN  (L5)  (W)</t>
    </r>
  </si>
  <si>
    <r>
      <t xml:space="preserve">KIM JISU
</t>
    </r>
    <r>
      <rPr>
        <b/>
        <sz val="5.5"/>
        <color theme="1"/>
        <rFont val="Tahoma"/>
        <family val="2"/>
      </rPr>
      <t>JISU (L3) (W) IRENE</t>
    </r>
  </si>
  <si>
    <r>
      <t xml:space="preserve">KANAE OHASHI
</t>
    </r>
    <r>
      <rPr>
        <b/>
        <sz val="5.5"/>
        <rFont val="Tahoma"/>
        <family val="2"/>
      </rPr>
      <t>KANAE (W)</t>
    </r>
  </si>
  <si>
    <r>
      <t xml:space="preserve">KANAE OHASHI
</t>
    </r>
    <r>
      <rPr>
        <b/>
        <sz val="5.5"/>
        <rFont val="Tahoma"/>
        <family val="2"/>
      </rPr>
      <t>KANAE (S)</t>
    </r>
  </si>
  <si>
    <r>
      <t xml:space="preserve">KANAE OHASHI
</t>
    </r>
    <r>
      <rPr>
        <b/>
        <sz val="5.5"/>
        <rFont val="Tahoma"/>
        <family val="2"/>
      </rPr>
      <t>KANAE (L)</t>
    </r>
  </si>
  <si>
    <r>
      <t xml:space="preserve">KANAE OHASHI
</t>
    </r>
    <r>
      <rPr>
        <b/>
        <sz val="5.5"/>
        <rFont val="Tahoma"/>
        <family val="2"/>
      </rPr>
      <t xml:space="preserve">KANAE </t>
    </r>
  </si>
  <si>
    <r>
      <t xml:space="preserve">NGUYEN THI PHUONG UYEN
</t>
    </r>
    <r>
      <rPr>
        <b/>
        <sz val="5.5"/>
        <rFont val="Tahoma"/>
        <family val="2"/>
      </rPr>
      <t>ROSE</t>
    </r>
  </si>
  <si>
    <r>
      <t xml:space="preserve">NAKAMURA KARIN
</t>
    </r>
    <r>
      <rPr>
        <b/>
        <sz val="5.5"/>
        <rFont val="Tahoma"/>
        <family val="2"/>
      </rPr>
      <t xml:space="preserve">KARIN (L4) (S) </t>
    </r>
  </si>
  <si>
    <r>
      <t xml:space="preserve">KITA AKANE
</t>
    </r>
    <r>
      <rPr>
        <b/>
        <sz val="5.5"/>
        <color theme="1"/>
        <rFont val="Tahoma"/>
        <family val="2"/>
      </rPr>
      <t xml:space="preserve">AKA (L4) </t>
    </r>
  </si>
  <si>
    <r>
      <t xml:space="preserve">TANUMA SEIICHI
</t>
    </r>
    <r>
      <rPr>
        <b/>
        <sz val="5.5"/>
        <color theme="1"/>
        <rFont val="Tahoma"/>
        <family val="2"/>
      </rPr>
      <t xml:space="preserve">OKKI (L5) </t>
    </r>
  </si>
  <si>
    <r>
      <t xml:space="preserve">CHUN HYUN WOO
</t>
    </r>
    <r>
      <rPr>
        <b/>
        <sz val="5.5"/>
        <color theme="1"/>
        <rFont val="Tahoma"/>
        <family val="2"/>
      </rPr>
      <t xml:space="preserve">ANDREW  (L4)  </t>
    </r>
  </si>
  <si>
    <r>
      <t xml:space="preserve">HOU CHI HONG
</t>
    </r>
    <r>
      <rPr>
        <b/>
        <sz val="5.5"/>
        <rFont val="Tahoma"/>
        <family val="2"/>
      </rPr>
      <t xml:space="preserve">MATT HOU (L5) </t>
    </r>
  </si>
  <si>
    <t>HATTORI MEI</t>
  </si>
  <si>
    <r>
      <t xml:space="preserve">SHIOKAWA RIHO
</t>
    </r>
    <r>
      <rPr>
        <b/>
        <sz val="5.5"/>
        <color theme="1"/>
        <rFont val="Tahoma"/>
        <family val="2"/>
      </rPr>
      <t>RIHO (L4) (L)</t>
    </r>
  </si>
  <si>
    <r>
      <t xml:space="preserve">SHIOKAWA RIHO
</t>
    </r>
    <r>
      <rPr>
        <b/>
        <sz val="5.5"/>
        <color theme="1"/>
        <rFont val="Tahoma"/>
        <family val="2"/>
      </rPr>
      <t>RIHO (L4) (S)</t>
    </r>
  </si>
  <si>
    <r>
      <t xml:space="preserve">SHIOKAWA RIHO
</t>
    </r>
    <r>
      <rPr>
        <b/>
        <sz val="5.5"/>
        <color theme="1"/>
        <rFont val="Tahoma"/>
        <family val="2"/>
      </rPr>
      <t xml:space="preserve">RIHO (L4) </t>
    </r>
  </si>
  <si>
    <r>
      <t xml:space="preserve">SHIOKAWA RIHO
</t>
    </r>
    <r>
      <rPr>
        <b/>
        <sz val="5.5"/>
        <color theme="1"/>
        <rFont val="Tahoma"/>
        <family val="2"/>
      </rPr>
      <t>RIHO (L4) ( R )</t>
    </r>
  </si>
  <si>
    <r>
      <t>RAME</t>
    </r>
    <r>
      <rPr>
        <sz val="5.5"/>
        <color theme="1"/>
        <rFont val="Tahoma"/>
        <family val="2"/>
      </rPr>
      <t xml:space="preserve">                                          (TOEIC - GRAMMAR)</t>
    </r>
  </si>
  <si>
    <r>
      <t>TRUONG HOAI THUONG</t>
    </r>
    <r>
      <rPr>
        <b/>
        <sz val="5.5"/>
        <color theme="1"/>
        <rFont val="Tahoma"/>
        <family val="2"/>
      </rPr>
      <t xml:space="preserve"> IVY TROUNG</t>
    </r>
    <r>
      <rPr>
        <sz val="5.5"/>
        <color theme="1"/>
        <rFont val="Tahoma"/>
        <family val="2"/>
      </rPr>
      <t xml:space="preserve"> </t>
    </r>
    <r>
      <rPr>
        <b/>
        <sz val="5.5"/>
        <color theme="1"/>
        <rFont val="Tahoma"/>
        <family val="2"/>
      </rPr>
      <t xml:space="preserve"> (R)</t>
    </r>
  </si>
  <si>
    <r>
      <t>TRUONG HOAI THUONG</t>
    </r>
    <r>
      <rPr>
        <b/>
        <sz val="5.5"/>
        <color theme="1"/>
        <rFont val="Tahoma"/>
        <family val="2"/>
      </rPr>
      <t xml:space="preserve">  IVY TROUNG (S)</t>
    </r>
  </si>
  <si>
    <r>
      <t>TRUONG HOAI THUONG</t>
    </r>
    <r>
      <rPr>
        <b/>
        <sz val="5.5"/>
        <color theme="1"/>
        <rFont val="Tahoma"/>
        <family val="2"/>
      </rPr>
      <t xml:space="preserve">  IVY TROUNG  (L)</t>
    </r>
  </si>
  <si>
    <r>
      <t>TRUONG HOAI THUONG</t>
    </r>
    <r>
      <rPr>
        <b/>
        <sz val="5.5"/>
        <color theme="1"/>
        <rFont val="Tahoma"/>
        <family val="2"/>
      </rPr>
      <t xml:space="preserve">  IVY TROUNG (R)</t>
    </r>
  </si>
  <si>
    <r>
      <t>TRUONG HOAI THUONG</t>
    </r>
    <r>
      <rPr>
        <b/>
        <sz val="5.5"/>
        <color theme="1"/>
        <rFont val="Tahoma"/>
        <family val="2"/>
      </rPr>
      <t xml:space="preserve"> 
 IVY TROUNG</t>
    </r>
  </si>
  <si>
    <t>CESTINE</t>
  </si>
  <si>
    <t>RHOSE</t>
  </si>
  <si>
    <t>LYNN\</t>
  </si>
  <si>
    <r>
      <t xml:space="preserve">KANG YUMI
</t>
    </r>
    <r>
      <rPr>
        <b/>
        <sz val="5.5"/>
        <rFont val="Tahoma"/>
        <family val="2"/>
      </rPr>
      <t xml:space="preserve">YUMI (L1) </t>
    </r>
  </si>
  <si>
    <r>
      <t xml:space="preserve">ERIKA MATSUBARA
</t>
    </r>
    <r>
      <rPr>
        <b/>
        <sz val="5.5"/>
        <color theme="1"/>
        <rFont val="Tahoma"/>
        <family val="2"/>
      </rPr>
      <t>EMMA (L4)</t>
    </r>
  </si>
  <si>
    <r>
      <t xml:space="preserve">MANAKO KAE
</t>
    </r>
    <r>
      <rPr>
        <b/>
        <sz val="5.5"/>
        <color theme="1"/>
        <rFont val="Tahoma"/>
        <family val="2"/>
      </rPr>
      <t>KAE (L5) (L)</t>
    </r>
  </si>
  <si>
    <r>
      <t xml:space="preserve">MANAKO KAE
</t>
    </r>
    <r>
      <rPr>
        <b/>
        <sz val="5.5"/>
        <color theme="1"/>
        <rFont val="Tahoma"/>
        <family val="2"/>
      </rPr>
      <t>KAE (L5) (S)</t>
    </r>
  </si>
  <si>
    <r>
      <t xml:space="preserve">HIGUCHI KAI
</t>
    </r>
    <r>
      <rPr>
        <b/>
        <sz val="5.5"/>
        <color theme="1"/>
        <rFont val="Tahoma"/>
        <family val="2"/>
      </rPr>
      <t>GUCCHI (L5) (S)</t>
    </r>
  </si>
  <si>
    <r>
      <t xml:space="preserve">HIGUCHI KAI
</t>
    </r>
    <r>
      <rPr>
        <b/>
        <sz val="5.5"/>
        <color theme="1"/>
        <rFont val="Tahoma"/>
        <family val="2"/>
      </rPr>
      <t>GUCCHI (L5) (W)</t>
    </r>
  </si>
  <si>
    <r>
      <t xml:space="preserve">SEO JEONGHEE
</t>
    </r>
    <r>
      <rPr>
        <b/>
        <sz val="5.5"/>
        <rFont val="Tahoma"/>
        <family val="2"/>
      </rPr>
      <t>MIRANDA (L2) (L)</t>
    </r>
  </si>
  <si>
    <r>
      <t xml:space="preserve">JUNG EUNJU
</t>
    </r>
    <r>
      <rPr>
        <b/>
        <sz val="5.5"/>
        <rFont val="Tahoma"/>
        <family val="2"/>
      </rPr>
      <t xml:space="preserve">AUDREY (L5) </t>
    </r>
  </si>
  <si>
    <r>
      <t xml:space="preserve">ABDULLAH ADEL AWADH
</t>
    </r>
    <r>
      <rPr>
        <b/>
        <sz val="5.5"/>
        <rFont val="Tahoma"/>
        <family val="2"/>
      </rPr>
      <t xml:space="preserve">SADI (L3) </t>
    </r>
  </si>
  <si>
    <r>
      <t xml:space="preserve">LEE SIIN
</t>
    </r>
    <r>
      <rPr>
        <b/>
        <sz val="5.5"/>
        <color theme="1"/>
        <rFont val="Tahoma"/>
        <family val="2"/>
      </rPr>
      <t>CINDY (L2)(s)</t>
    </r>
  </si>
  <si>
    <r>
      <t>WU MU SUNG</t>
    </r>
    <r>
      <rPr>
        <b/>
        <sz val="5.5"/>
        <color theme="1"/>
        <rFont val="Tahoma"/>
        <family val="2"/>
      </rPr>
      <t xml:space="preserve">
PIPI (L4) (L)</t>
    </r>
  </si>
  <si>
    <r>
      <t xml:space="preserve">LIN CHENG EN
</t>
    </r>
    <r>
      <rPr>
        <b/>
        <sz val="5.5"/>
        <color theme="1"/>
        <rFont val="Tahoma"/>
        <family val="2"/>
      </rPr>
      <t>JERRY LIN (L4) (R)</t>
    </r>
  </si>
  <si>
    <r>
      <t xml:space="preserve">WANG WAN TING
</t>
    </r>
    <r>
      <rPr>
        <b/>
        <sz val="5.5"/>
        <color theme="1"/>
        <rFont val="Tahoma"/>
        <family val="2"/>
      </rPr>
      <t>IVY (L4) (W) M16</t>
    </r>
  </si>
  <si>
    <r>
      <t xml:space="preserve">YAO ANN YAUN
</t>
    </r>
    <r>
      <rPr>
        <b/>
        <sz val="5.5"/>
        <color theme="1"/>
        <rFont val="Tahoma"/>
        <family val="2"/>
      </rPr>
      <t>ANN (L4) (S)</t>
    </r>
  </si>
  <si>
    <r>
      <t xml:space="preserve">YAO ANN YAUN
</t>
    </r>
    <r>
      <rPr>
        <b/>
        <sz val="5.5"/>
        <color theme="1"/>
        <rFont val="Tahoma"/>
        <family val="2"/>
      </rPr>
      <t>ANN (L4) (W)</t>
    </r>
  </si>
  <si>
    <r>
      <t xml:space="preserve">YAO ANN YAUN
</t>
    </r>
    <r>
      <rPr>
        <b/>
        <sz val="5.5"/>
        <color theme="1"/>
        <rFont val="Tahoma"/>
        <family val="2"/>
      </rPr>
      <t>ANN (L4) (L)</t>
    </r>
  </si>
  <si>
    <r>
      <t xml:space="preserve">BAEINHEE
</t>
    </r>
    <r>
      <rPr>
        <b/>
        <sz val="5.5"/>
        <color theme="1"/>
        <rFont val="Tahoma"/>
        <family val="2"/>
      </rPr>
      <t>HENRY (L5) (S)</t>
    </r>
  </si>
  <si>
    <r>
      <rPr>
        <sz val="5.5"/>
        <color theme="1"/>
        <rFont val="Tahoma"/>
        <family val="2"/>
      </rPr>
      <t xml:space="preserve">SOHN SUMIN
</t>
    </r>
    <r>
      <rPr>
        <b/>
        <sz val="5.5"/>
        <color theme="1"/>
        <rFont val="Tahoma"/>
        <family val="2"/>
      </rPr>
      <t xml:space="preserve">LUNA  (L5) </t>
    </r>
  </si>
  <si>
    <t xml:space="preserve">
NGUYEN BAO TRUNG
</t>
  </si>
  <si>
    <t xml:space="preserve">
NAKAMURA AYANO
</t>
  </si>
  <si>
    <r>
      <t xml:space="preserve">SEONG BAI LEE
</t>
    </r>
    <r>
      <rPr>
        <b/>
        <sz val="5.5"/>
        <color theme="1"/>
        <rFont val="Tahoma"/>
        <family val="2"/>
      </rPr>
      <t>LION  (L1)</t>
    </r>
  </si>
  <si>
    <r>
      <t xml:space="preserve">ERIKA MATSUBARA
</t>
    </r>
    <r>
      <rPr>
        <b/>
        <sz val="5.5"/>
        <color theme="1"/>
        <rFont val="Tahoma"/>
        <family val="2"/>
      </rPr>
      <t>EMMA (L4) (S)</t>
    </r>
  </si>
  <si>
    <r>
      <t xml:space="preserve">ERIKA MATSUBARA
</t>
    </r>
    <r>
      <rPr>
        <b/>
        <sz val="5.5"/>
        <color theme="1"/>
        <rFont val="Tahoma"/>
        <family val="2"/>
      </rPr>
      <t>EMMA (L4) (L)</t>
    </r>
  </si>
  <si>
    <r>
      <t xml:space="preserve">JIN SEUNGHWI
</t>
    </r>
    <r>
      <rPr>
        <b/>
        <sz val="5.5"/>
        <rFont val="Tahoma"/>
        <family val="2"/>
      </rPr>
      <t>JARBAN (L4) (S)</t>
    </r>
  </si>
  <si>
    <r>
      <t xml:space="preserve">KANAE OHASHI
</t>
    </r>
    <r>
      <rPr>
        <b/>
        <sz val="5.5"/>
        <rFont val="Tahoma"/>
        <family val="2"/>
      </rPr>
      <t>KANAE (R)</t>
    </r>
  </si>
  <si>
    <r>
      <t xml:space="preserve">ALZAHRANI, HAMZAH ALI A </t>
    </r>
    <r>
      <rPr>
        <b/>
        <sz val="5.5"/>
        <rFont val="Tahoma"/>
        <family val="2"/>
      </rPr>
      <t>HAMZAH</t>
    </r>
    <r>
      <rPr>
        <sz val="5.5"/>
        <rFont val="Tahoma"/>
        <family val="2"/>
      </rPr>
      <t xml:space="preserve"> (S)</t>
    </r>
  </si>
  <si>
    <r>
      <t xml:space="preserve">LEE EUNJEONG
</t>
    </r>
    <r>
      <rPr>
        <b/>
        <sz val="5.5"/>
        <rFont val="Tahoma"/>
        <family val="2"/>
      </rPr>
      <t xml:space="preserve">JEONG (L5) </t>
    </r>
  </si>
  <si>
    <r>
      <t xml:space="preserve">LEE EUNJEONG
</t>
    </r>
    <r>
      <rPr>
        <b/>
        <sz val="5.5"/>
        <rFont val="Tahoma"/>
        <family val="2"/>
      </rPr>
      <t>JEONG (L5) (L)</t>
    </r>
  </si>
  <si>
    <t>RHEA</t>
  </si>
  <si>
    <t>JANA</t>
  </si>
  <si>
    <t>MARGO</t>
  </si>
  <si>
    <t>KYLE</t>
  </si>
  <si>
    <t>JHEA</t>
  </si>
  <si>
    <t>JANE</t>
  </si>
  <si>
    <r>
      <t xml:space="preserve">LEE DAYE
</t>
    </r>
    <r>
      <rPr>
        <b/>
        <sz val="5.5"/>
        <rFont val="Tahoma"/>
        <family val="2"/>
      </rPr>
      <t>GABBY (L5) (L)</t>
    </r>
  </si>
  <si>
    <r>
      <t xml:space="preserve">LEE DAYE
</t>
    </r>
    <r>
      <rPr>
        <b/>
        <sz val="5.5"/>
        <rFont val="Tahoma"/>
        <family val="2"/>
      </rPr>
      <t>GABBY (L5) (S)</t>
    </r>
  </si>
  <si>
    <r>
      <t xml:space="preserve">LEE DAYE
</t>
    </r>
    <r>
      <rPr>
        <b/>
        <sz val="5.5"/>
        <rFont val="Tahoma"/>
        <family val="2"/>
      </rPr>
      <t>GABBY (L5) (R)</t>
    </r>
  </si>
  <si>
    <r>
      <t xml:space="preserve">LEE DAYE
</t>
    </r>
    <r>
      <rPr>
        <b/>
        <sz val="5.5"/>
        <rFont val="Tahoma"/>
        <family val="2"/>
      </rPr>
      <t>GABBY(L5) (W)</t>
    </r>
  </si>
  <si>
    <r>
      <t xml:space="preserve">LEE DAYE
</t>
    </r>
    <r>
      <rPr>
        <b/>
        <sz val="5.5"/>
        <rFont val="Tahoma"/>
        <family val="2"/>
      </rPr>
      <t xml:space="preserve">GABBY (L5) </t>
    </r>
  </si>
  <si>
    <r>
      <t>KOKAI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MAYUKO
</t>
    </r>
    <r>
      <rPr>
        <b/>
        <sz val="5.5"/>
        <rFont val="Tahoma"/>
        <family val="2"/>
      </rPr>
      <t>MAYU (L4) (W)</t>
    </r>
  </si>
  <si>
    <r>
      <t>KOKAI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MAYUKO
</t>
    </r>
    <r>
      <rPr>
        <b/>
        <sz val="5.5"/>
        <rFont val="Tahoma"/>
        <family val="2"/>
      </rPr>
      <t>MAYU (L4) (R)</t>
    </r>
  </si>
  <si>
    <r>
      <t>KOKAI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MAYUKO
</t>
    </r>
    <r>
      <rPr>
        <b/>
        <sz val="5.5"/>
        <rFont val="Tahoma"/>
        <family val="2"/>
      </rPr>
      <t>MAYU (L4) (S)</t>
    </r>
  </si>
  <si>
    <r>
      <t>KOKAI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MAYUKO
</t>
    </r>
    <r>
      <rPr>
        <b/>
        <sz val="5.5"/>
        <rFont val="Tahoma"/>
        <family val="2"/>
      </rPr>
      <t>MAYU (L4) (L)</t>
    </r>
  </si>
  <si>
    <r>
      <t>KOKAI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MAYUKO
</t>
    </r>
    <r>
      <rPr>
        <b/>
        <sz val="5.5"/>
        <rFont val="Tahoma"/>
        <family val="2"/>
      </rPr>
      <t xml:space="preserve">MAYU (L4) </t>
    </r>
  </si>
  <si>
    <r>
      <t xml:space="preserve">YAMAMOTO KEI
</t>
    </r>
    <r>
      <rPr>
        <b/>
        <sz val="5.5"/>
        <rFont val="Tahoma"/>
        <family val="2"/>
      </rPr>
      <t xml:space="preserve">KEI (L4) </t>
    </r>
  </si>
  <si>
    <r>
      <t xml:space="preserve">NATSUMI YOSHIDA
</t>
    </r>
    <r>
      <rPr>
        <b/>
        <sz val="5.5"/>
        <rFont val="Tahoma"/>
        <family val="2"/>
      </rPr>
      <t>NATUMI (L5) (L)</t>
    </r>
  </si>
  <si>
    <r>
      <t xml:space="preserve">NATSUMI YOSHIDA
</t>
    </r>
    <r>
      <rPr>
        <b/>
        <sz val="5.5"/>
        <rFont val="Tahoma"/>
        <family val="2"/>
      </rPr>
      <t>NATUMI (L5) (S)</t>
    </r>
  </si>
  <si>
    <r>
      <t xml:space="preserve">NATSUMI YOSHIDA
</t>
    </r>
    <r>
      <rPr>
        <b/>
        <sz val="5.5"/>
        <rFont val="Tahoma"/>
        <family val="2"/>
      </rPr>
      <t>NATUMI (L5) (R)</t>
    </r>
  </si>
  <si>
    <r>
      <t xml:space="preserve">NATSUMI YOSHIDA
</t>
    </r>
    <r>
      <rPr>
        <b/>
        <sz val="5.5"/>
        <rFont val="Tahoma"/>
        <family val="2"/>
      </rPr>
      <t>NATUMI (L5) (W)</t>
    </r>
  </si>
  <si>
    <r>
      <t xml:space="preserve">NATSUMI YOSHIDA
</t>
    </r>
    <r>
      <rPr>
        <b/>
        <sz val="5.5"/>
        <rFont val="Tahoma"/>
        <family val="2"/>
      </rPr>
      <t>NATUMI (L5)</t>
    </r>
  </si>
  <si>
    <r>
      <t xml:space="preserve">YAMANAKA HIROMU
</t>
    </r>
    <r>
      <rPr>
        <b/>
        <sz val="5.5"/>
        <rFont val="Tahoma"/>
        <family val="2"/>
      </rPr>
      <t>DAIMU(L5 ) (S)</t>
    </r>
  </si>
  <si>
    <r>
      <t xml:space="preserve">YAMANAKA HIROMU
</t>
    </r>
    <r>
      <rPr>
        <b/>
        <sz val="5.5"/>
        <rFont val="Tahoma"/>
        <family val="2"/>
      </rPr>
      <t>DAIMU(L5 ) (L)</t>
    </r>
  </si>
  <si>
    <r>
      <t xml:space="preserve">YAMANAKA HIROMU
</t>
    </r>
    <r>
      <rPr>
        <b/>
        <sz val="5.5"/>
        <rFont val="Tahoma"/>
        <family val="2"/>
      </rPr>
      <t>DAIMU (L5 ) (W)</t>
    </r>
  </si>
  <si>
    <r>
      <t xml:space="preserve">YAMANAKA HIROMU
</t>
    </r>
    <r>
      <rPr>
        <b/>
        <sz val="5.5"/>
        <rFont val="Tahoma"/>
        <family val="2"/>
      </rPr>
      <t>DAIMU (L5 ) (R)</t>
    </r>
  </si>
  <si>
    <r>
      <t xml:space="preserve">YAMANAKA HIROMU
</t>
    </r>
    <r>
      <rPr>
        <b/>
        <sz val="5.5"/>
        <rFont val="Tahoma"/>
        <family val="2"/>
      </rPr>
      <t>DAIMU(L5 )</t>
    </r>
  </si>
  <si>
    <r>
      <t xml:space="preserve">YAMANAKA HIROMU
</t>
    </r>
    <r>
      <rPr>
        <b/>
        <sz val="5.5"/>
        <rFont val="Tahoma"/>
        <family val="2"/>
      </rPr>
      <t>DAIMU (L5 )</t>
    </r>
  </si>
  <si>
    <r>
      <t xml:space="preserve">ISHIKAWA SHUNSUKE
</t>
    </r>
    <r>
      <rPr>
        <b/>
        <sz val="5.5"/>
        <rFont val="Tahoma"/>
        <family val="2"/>
      </rPr>
      <t>SHUN (L5) (W)</t>
    </r>
  </si>
  <si>
    <r>
      <t xml:space="preserve">ISHIKAWA SHUNSUKE
</t>
    </r>
    <r>
      <rPr>
        <b/>
        <sz val="5.5"/>
        <rFont val="Tahoma"/>
        <family val="2"/>
      </rPr>
      <t>SHUN (L5) (R)</t>
    </r>
  </si>
  <si>
    <r>
      <t xml:space="preserve">ISHIKAWA SHUNSUKE
</t>
    </r>
    <r>
      <rPr>
        <b/>
        <sz val="5.5"/>
        <rFont val="Tahoma"/>
        <family val="2"/>
      </rPr>
      <t>SHUN (L5) (L)</t>
    </r>
  </si>
  <si>
    <r>
      <t xml:space="preserve">ISHIKAWA SHUNSUKE
</t>
    </r>
    <r>
      <rPr>
        <b/>
        <sz val="5.5"/>
        <rFont val="Tahoma"/>
        <family val="2"/>
      </rPr>
      <t>SHUN (L5) (S)</t>
    </r>
  </si>
  <si>
    <r>
      <t xml:space="preserve">ISHIKAWA SHUNSUKE
</t>
    </r>
    <r>
      <rPr>
        <b/>
        <sz val="5.5"/>
        <rFont val="Tahoma"/>
        <family val="2"/>
      </rPr>
      <t>SHUN (L5)</t>
    </r>
  </si>
  <si>
    <r>
      <t xml:space="preserve">YUKI YAMAMOTO
</t>
    </r>
    <r>
      <rPr>
        <b/>
        <sz val="5.5"/>
        <rFont val="Tahoma"/>
        <family val="2"/>
      </rPr>
      <t>YUKI (5) (L)</t>
    </r>
  </si>
  <si>
    <r>
      <t xml:space="preserve">YUKI YAMAMOTO
</t>
    </r>
    <r>
      <rPr>
        <b/>
        <sz val="5.5"/>
        <rFont val="Tahoma"/>
        <family val="2"/>
      </rPr>
      <t>YUKI (5) (W)</t>
    </r>
  </si>
  <si>
    <r>
      <t xml:space="preserve">YUKI YAMAMOTO
</t>
    </r>
    <r>
      <rPr>
        <b/>
        <sz val="5.5"/>
        <rFont val="Tahoma"/>
        <family val="2"/>
      </rPr>
      <t>YUKI (5) (R)</t>
    </r>
  </si>
  <si>
    <r>
      <t xml:space="preserve">YUKI YAMAMOTO
</t>
    </r>
    <r>
      <rPr>
        <b/>
        <sz val="5.5"/>
        <rFont val="Tahoma"/>
        <family val="2"/>
      </rPr>
      <t>YUKI (5) (S)</t>
    </r>
  </si>
  <si>
    <r>
      <t xml:space="preserve">YUKI YAMAMOTO
</t>
    </r>
    <r>
      <rPr>
        <b/>
        <sz val="5.5"/>
        <rFont val="Tahoma"/>
        <family val="2"/>
      </rPr>
      <t xml:space="preserve">YUKI (5) </t>
    </r>
  </si>
  <si>
    <r>
      <t xml:space="preserve">SHIMIZU EIICHI
</t>
    </r>
    <r>
      <rPr>
        <b/>
        <sz val="5.5"/>
        <rFont val="Tahoma"/>
        <family val="2"/>
      </rPr>
      <t>MAOI (L3) (L)</t>
    </r>
  </si>
  <si>
    <r>
      <t xml:space="preserve">SHIMIZU EIICHI
</t>
    </r>
    <r>
      <rPr>
        <b/>
        <sz val="5.5"/>
        <rFont val="Tahoma"/>
        <family val="2"/>
      </rPr>
      <t>MAOI (L3) (S)</t>
    </r>
  </si>
  <si>
    <r>
      <t xml:space="preserve">SHIMIZU EIICHI
</t>
    </r>
    <r>
      <rPr>
        <b/>
        <sz val="5.5"/>
        <rFont val="Tahoma"/>
        <family val="2"/>
      </rPr>
      <t>MAOI (L3) (R)</t>
    </r>
  </si>
  <si>
    <r>
      <t xml:space="preserve">SHIMIZU EIICHI
</t>
    </r>
    <r>
      <rPr>
        <b/>
        <sz val="5.5"/>
        <rFont val="Tahoma"/>
        <family val="2"/>
      </rPr>
      <t>MAOI (L3) (W)</t>
    </r>
  </si>
  <si>
    <r>
      <t xml:space="preserve">SHIMIZU EIICHI
</t>
    </r>
    <r>
      <rPr>
        <b/>
        <sz val="5.5"/>
        <rFont val="Tahoma"/>
        <family val="2"/>
      </rPr>
      <t>MAOI (L3)</t>
    </r>
  </si>
  <si>
    <r>
      <t xml:space="preserve">UEDA KAZUNORI
</t>
    </r>
    <r>
      <rPr>
        <b/>
        <sz val="5.5"/>
        <rFont val="Tahoma"/>
        <family val="2"/>
      </rPr>
      <t>UEDA (L5)</t>
    </r>
  </si>
  <si>
    <r>
      <t xml:space="preserve">UEDA KAZUNORI
</t>
    </r>
    <r>
      <rPr>
        <b/>
        <sz val="5.5"/>
        <rFont val="Tahoma"/>
        <family val="2"/>
      </rPr>
      <t>UEDA (L5) (L)</t>
    </r>
  </si>
  <si>
    <r>
      <t xml:space="preserve">UEDA KAZUNORI
</t>
    </r>
    <r>
      <rPr>
        <b/>
        <sz val="5.5"/>
        <rFont val="Tahoma"/>
        <family val="2"/>
      </rPr>
      <t>UEDA (L5) (S)</t>
    </r>
  </si>
  <si>
    <r>
      <t xml:space="preserve">UEDA KAZUNORI
</t>
    </r>
    <r>
      <rPr>
        <b/>
        <sz val="5.5"/>
        <rFont val="Tahoma"/>
        <family val="2"/>
      </rPr>
      <t>UEDA (L5) (W)</t>
    </r>
  </si>
  <si>
    <r>
      <t xml:space="preserve">UEDA KAZUNORI
</t>
    </r>
    <r>
      <rPr>
        <b/>
        <sz val="5.5"/>
        <rFont val="Tahoma"/>
        <family val="2"/>
      </rPr>
      <t>UEDA (L5) (R)</t>
    </r>
  </si>
  <si>
    <r>
      <t xml:space="preserve">MANA IWATANI
</t>
    </r>
    <r>
      <rPr>
        <b/>
        <sz val="5.5"/>
        <rFont val="Tahoma"/>
        <family val="2"/>
      </rPr>
      <t>MANA (L4)</t>
    </r>
  </si>
  <si>
    <r>
      <t xml:space="preserve">MANA IWATANI
</t>
    </r>
    <r>
      <rPr>
        <b/>
        <sz val="5.5"/>
        <rFont val="Tahoma"/>
        <family val="2"/>
      </rPr>
      <t>MANA (L4) (S)</t>
    </r>
  </si>
  <si>
    <r>
      <t xml:space="preserve">MANA IWATANI
</t>
    </r>
    <r>
      <rPr>
        <b/>
        <sz val="5.5"/>
        <rFont val="Tahoma"/>
        <family val="2"/>
      </rPr>
      <t>MANA (L4) (L)</t>
    </r>
  </si>
  <si>
    <r>
      <t xml:space="preserve">MANA IWATANI
</t>
    </r>
    <r>
      <rPr>
        <b/>
        <sz val="5.5"/>
        <rFont val="Tahoma"/>
        <family val="2"/>
      </rPr>
      <t>MANA (L4) (R)</t>
    </r>
  </si>
  <si>
    <r>
      <t xml:space="preserve">MANA IWATANI
</t>
    </r>
    <r>
      <rPr>
        <b/>
        <sz val="5.5"/>
        <rFont val="Tahoma"/>
        <family val="2"/>
      </rPr>
      <t>MANA (L4) (W)</t>
    </r>
  </si>
  <si>
    <t>FUKUDA AKARI
AKARI (L5)</t>
  </si>
  <si>
    <t>FUKUDA AKARI
AKARI (L5) (L)</t>
  </si>
  <si>
    <t>FUKUDA AKARI
AKARI (L5) (S)</t>
  </si>
  <si>
    <t>FUKUDA AKARI
AKARI (L5) (R)</t>
  </si>
  <si>
    <t>FUKUDA AKARI
AKARI (L5) (W)</t>
  </si>
  <si>
    <r>
      <t>NAKASHIMA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KIMIKA
</t>
    </r>
    <r>
      <rPr>
        <b/>
        <sz val="5.5"/>
        <rFont val="Tahoma"/>
        <family val="2"/>
      </rPr>
      <t>KIMIKA (L7)</t>
    </r>
  </si>
  <si>
    <r>
      <t>NAKASHIMA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KIMIKA
</t>
    </r>
    <r>
      <rPr>
        <b/>
        <sz val="5.5"/>
        <rFont val="Tahoma"/>
        <family val="2"/>
      </rPr>
      <t>KIMIKA (L7)(L)</t>
    </r>
  </si>
  <si>
    <r>
      <t>NAKASHIMA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KIMIKA
</t>
    </r>
    <r>
      <rPr>
        <b/>
        <sz val="5.5"/>
        <rFont val="Tahoma"/>
        <family val="2"/>
      </rPr>
      <t>KIMIKA (L7)(S)</t>
    </r>
  </si>
  <si>
    <r>
      <t>NAKASHIMA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KIMIKA
</t>
    </r>
    <r>
      <rPr>
        <b/>
        <sz val="5.5"/>
        <rFont val="Tahoma"/>
        <family val="2"/>
      </rPr>
      <t>KIMIKA (L7)(R)</t>
    </r>
  </si>
  <si>
    <r>
      <t>NAKASHIMA</t>
    </r>
    <r>
      <rPr>
        <sz val="5.5"/>
        <rFont val="蹈框"/>
        <charset val="134"/>
      </rPr>
      <t>　</t>
    </r>
    <r>
      <rPr>
        <sz val="5.5"/>
        <rFont val="Tahoma"/>
        <family val="2"/>
      </rPr>
      <t xml:space="preserve">KIMIKA
</t>
    </r>
    <r>
      <rPr>
        <b/>
        <sz val="5.5"/>
        <rFont val="Tahoma"/>
        <family val="2"/>
      </rPr>
      <t>KIMIKA (L7)(W)</t>
    </r>
  </si>
  <si>
    <r>
      <t xml:space="preserve">YONEDA FUMIKO
</t>
    </r>
    <r>
      <rPr>
        <b/>
        <sz val="5.5"/>
        <rFont val="Tahoma"/>
        <family val="2"/>
      </rPr>
      <t>FUMI (L5) (S)</t>
    </r>
  </si>
  <si>
    <r>
      <t xml:space="preserve">YONEDA FUMIKO
</t>
    </r>
    <r>
      <rPr>
        <b/>
        <sz val="5.5"/>
        <rFont val="Tahoma"/>
        <family val="2"/>
      </rPr>
      <t>FUMI (L5) (L)</t>
    </r>
  </si>
  <si>
    <r>
      <t xml:space="preserve">YONEDA FUMIKO
</t>
    </r>
    <r>
      <rPr>
        <b/>
        <sz val="5.5"/>
        <rFont val="Tahoma"/>
        <family val="2"/>
      </rPr>
      <t>FUMI (L5)</t>
    </r>
  </si>
  <si>
    <r>
      <t xml:space="preserve">YONEDA FUMIKO
</t>
    </r>
    <r>
      <rPr>
        <b/>
        <sz val="5.5"/>
        <rFont val="Tahoma"/>
        <family val="2"/>
      </rPr>
      <t>FUMI (L5) ( R)</t>
    </r>
  </si>
  <si>
    <r>
      <t xml:space="preserve">YONEDA FUMIKO
</t>
    </r>
    <r>
      <rPr>
        <b/>
        <sz val="5.5"/>
        <rFont val="Tahoma"/>
        <family val="2"/>
      </rPr>
      <t>FUMI (L5) ( W)</t>
    </r>
  </si>
  <si>
    <r>
      <t xml:space="preserve">YONEDA FUMIKO
</t>
    </r>
    <r>
      <rPr>
        <b/>
        <sz val="5.5"/>
        <rFont val="Tahoma"/>
        <family val="2"/>
      </rPr>
      <t xml:space="preserve">FUMI (L5) </t>
    </r>
  </si>
  <si>
    <r>
      <t xml:space="preserve">TAKANORI NOZAKI
</t>
    </r>
    <r>
      <rPr>
        <b/>
        <sz val="5.5"/>
        <color theme="1"/>
        <rFont val="Tahoma"/>
        <family val="2"/>
      </rPr>
      <t>TAKA (L1)</t>
    </r>
  </si>
  <si>
    <r>
      <t xml:space="preserve">MATSUNARI YUKIKO 
</t>
    </r>
    <r>
      <rPr>
        <b/>
        <sz val="5.5"/>
        <rFont val="Tahoma"/>
        <family val="2"/>
      </rPr>
      <t>YUKKY (L5) (S)</t>
    </r>
  </si>
  <si>
    <r>
      <t xml:space="preserve">MATSUNARI YUKIKO 
</t>
    </r>
    <r>
      <rPr>
        <b/>
        <sz val="5.5"/>
        <rFont val="Tahoma"/>
        <family val="2"/>
      </rPr>
      <t>YUKKY (L5) (L)</t>
    </r>
  </si>
  <si>
    <r>
      <t xml:space="preserve">MATSUNARI YUKIKO 
</t>
    </r>
    <r>
      <rPr>
        <b/>
        <sz val="5.5"/>
        <rFont val="Tahoma"/>
        <family val="2"/>
      </rPr>
      <t>YUKKY (L5) ( R )</t>
    </r>
  </si>
  <si>
    <r>
      <t xml:space="preserve">MATSUNARI YUKIKO 
</t>
    </r>
    <r>
      <rPr>
        <b/>
        <sz val="5.5"/>
        <rFont val="Tahoma"/>
        <family val="2"/>
      </rPr>
      <t>YUKKY (L5) ( S )</t>
    </r>
  </si>
  <si>
    <r>
      <t xml:space="preserve">MATSUNARI YUKIKO 
</t>
    </r>
    <r>
      <rPr>
        <b/>
        <sz val="5.5"/>
        <rFont val="Tahoma"/>
        <family val="2"/>
      </rPr>
      <t xml:space="preserve">YUKKY (L5) </t>
    </r>
  </si>
  <si>
    <r>
      <t xml:space="preserve">WAKAMATSU MEI
</t>
    </r>
    <r>
      <rPr>
        <b/>
        <sz val="5.5"/>
        <rFont val="Tahoma"/>
        <family val="2"/>
      </rPr>
      <t>MEI (L6) (S) RHEA M16</t>
    </r>
  </si>
  <si>
    <r>
      <t xml:space="preserve">WAKAMATSU MEI
</t>
    </r>
    <r>
      <rPr>
        <b/>
        <sz val="5.5"/>
        <rFont val="Tahoma"/>
        <family val="2"/>
      </rPr>
      <t>MEI (L6) (L)</t>
    </r>
  </si>
  <si>
    <r>
      <t xml:space="preserve">WAKAMATSU MEI
</t>
    </r>
    <r>
      <rPr>
        <b/>
        <sz val="5.5"/>
        <rFont val="Tahoma"/>
        <family val="2"/>
      </rPr>
      <t>MEI (L6) (R)</t>
    </r>
  </si>
  <si>
    <r>
      <t xml:space="preserve">WAKAMATSU MEI
</t>
    </r>
    <r>
      <rPr>
        <b/>
        <sz val="5.5"/>
        <rFont val="Tahoma"/>
        <family val="2"/>
      </rPr>
      <t>MEI (L6) (W) M115</t>
    </r>
  </si>
  <si>
    <r>
      <t xml:space="preserve">WAKAMATSU MEI
</t>
    </r>
    <r>
      <rPr>
        <b/>
        <sz val="5.5"/>
        <rFont val="Tahoma"/>
        <family val="2"/>
      </rPr>
      <t>MEI (L6) (W) KYLE</t>
    </r>
  </si>
  <si>
    <r>
      <t xml:space="preserve">WAKAMATSU MEI
</t>
    </r>
    <r>
      <rPr>
        <b/>
        <sz val="5.5"/>
        <rFont val="Tahoma"/>
        <family val="2"/>
      </rPr>
      <t>MEI (L6) (S)</t>
    </r>
  </si>
  <si>
    <r>
      <t xml:space="preserve">WAKAMATSU MEI
</t>
    </r>
    <r>
      <rPr>
        <b/>
        <sz val="5.5"/>
        <rFont val="Tahoma"/>
        <family val="2"/>
      </rPr>
      <t>MEI (L6)</t>
    </r>
  </si>
  <si>
    <r>
      <t xml:space="preserve">SATO MARUMI
</t>
    </r>
    <r>
      <rPr>
        <b/>
        <sz val="5.5"/>
        <rFont val="Tahoma"/>
        <family val="2"/>
      </rPr>
      <t>MARU (L5) (S) JANA</t>
    </r>
  </si>
  <si>
    <r>
      <t xml:space="preserve">SATO MARUMI
</t>
    </r>
    <r>
      <rPr>
        <b/>
        <sz val="5.5"/>
        <rFont val="Tahoma"/>
        <family val="2"/>
      </rPr>
      <t>MARU (L5) (S) JANA M26</t>
    </r>
  </si>
  <si>
    <r>
      <t xml:space="preserve">SATO MARUMI
</t>
    </r>
    <r>
      <rPr>
        <b/>
        <sz val="5.5"/>
        <rFont val="Tahoma"/>
        <family val="2"/>
      </rPr>
      <t xml:space="preserve">MARU (L5) (S) </t>
    </r>
  </si>
  <si>
    <r>
      <t xml:space="preserve">SATO MARUMI
</t>
    </r>
    <r>
      <rPr>
        <b/>
        <sz val="5.5"/>
        <rFont val="Tahoma"/>
        <family val="2"/>
      </rPr>
      <t xml:space="preserve">MARU (L5) (L) </t>
    </r>
  </si>
  <si>
    <r>
      <t xml:space="preserve">SATO MARUMI
</t>
    </r>
    <r>
      <rPr>
        <b/>
        <sz val="5.5"/>
        <rFont val="Tahoma"/>
        <family val="2"/>
      </rPr>
      <t xml:space="preserve">MARU (L5) (R) </t>
    </r>
  </si>
  <si>
    <r>
      <t xml:space="preserve">SATO MARUMI
</t>
    </r>
    <r>
      <rPr>
        <b/>
        <sz val="5.5"/>
        <rFont val="Tahoma"/>
        <family val="2"/>
      </rPr>
      <t xml:space="preserve">MARU (L5) (W) M94  </t>
    </r>
  </si>
  <si>
    <r>
      <t xml:space="preserve">SATO MARUMI
</t>
    </r>
    <r>
      <rPr>
        <b/>
        <sz val="5.5"/>
        <rFont val="Tahoma"/>
        <family val="2"/>
      </rPr>
      <t>MARU (L5) (W) JHEA</t>
    </r>
  </si>
  <si>
    <r>
      <t xml:space="preserve">SATO MARUMI
</t>
    </r>
    <r>
      <rPr>
        <b/>
        <sz val="5.5"/>
        <rFont val="Tahoma"/>
        <family val="2"/>
      </rPr>
      <t>MARU (L5)</t>
    </r>
  </si>
  <si>
    <r>
      <t xml:space="preserve">ALGHAMDI AHMED
</t>
    </r>
    <r>
      <rPr>
        <b/>
        <sz val="5.5"/>
        <rFont val="Tahoma"/>
        <family val="2"/>
      </rPr>
      <t>TOUN (L4) (R ) JANE</t>
    </r>
  </si>
  <si>
    <r>
      <t xml:space="preserve">ALGHAMDI AHMED
</t>
    </r>
    <r>
      <rPr>
        <b/>
        <sz val="5.5"/>
        <rFont val="Tahoma"/>
        <family val="2"/>
      </rPr>
      <t>TOUN (L4) (R ) JANE M94</t>
    </r>
  </si>
  <si>
    <r>
      <t xml:space="preserve">ALGHAMDI AHMED
</t>
    </r>
    <r>
      <rPr>
        <b/>
        <sz val="5.5"/>
        <rFont val="Tahoma"/>
        <family val="2"/>
      </rPr>
      <t>TOUN (L4) (L)</t>
    </r>
  </si>
  <si>
    <r>
      <t xml:space="preserve">ALGHAMDI AHMED
</t>
    </r>
    <r>
      <rPr>
        <b/>
        <sz val="5.5"/>
        <rFont val="Tahoma"/>
        <family val="2"/>
      </rPr>
      <t>TOUN (L4) (S)</t>
    </r>
  </si>
  <si>
    <r>
      <t xml:space="preserve">ALGHAMDI AHMED
</t>
    </r>
    <r>
      <rPr>
        <b/>
        <sz val="5.5"/>
        <rFont val="Tahoma"/>
        <family val="2"/>
      </rPr>
      <t>TOUN (L4) (W)</t>
    </r>
  </si>
  <si>
    <r>
      <t xml:space="preserve">ALGHAMDI AHMED
</t>
    </r>
    <r>
      <rPr>
        <b/>
        <sz val="5.5"/>
        <rFont val="Tahoma"/>
        <family val="2"/>
      </rPr>
      <t>TOUN (L4)</t>
    </r>
  </si>
  <si>
    <r>
      <t xml:space="preserve">KANG HEEJUNG
</t>
    </r>
    <r>
      <rPr>
        <b/>
        <sz val="5.5"/>
        <rFont val="Tahoma"/>
        <family val="2"/>
      </rPr>
      <t>MAY (L3) (S)
MARGO</t>
    </r>
  </si>
  <si>
    <r>
      <t xml:space="preserve">KANG HEEJUNG
</t>
    </r>
    <r>
      <rPr>
        <b/>
        <sz val="5.5"/>
        <rFont val="Tahoma"/>
        <family val="2"/>
      </rPr>
      <t>MAY (L3) (S)
M94</t>
    </r>
  </si>
  <si>
    <r>
      <t xml:space="preserve">KANG HEEJUNG
</t>
    </r>
    <r>
      <rPr>
        <b/>
        <sz val="5.5"/>
        <rFont val="Tahoma"/>
        <family val="2"/>
      </rPr>
      <t>MAY (L3) (L)</t>
    </r>
  </si>
  <si>
    <r>
      <t xml:space="preserve">KANG HEEJUNG
</t>
    </r>
    <r>
      <rPr>
        <b/>
        <sz val="5.5"/>
        <rFont val="Tahoma"/>
        <family val="2"/>
      </rPr>
      <t>MAY (L3) (R)</t>
    </r>
  </si>
  <si>
    <r>
      <t xml:space="preserve">KANG HEEJUNG
</t>
    </r>
    <r>
      <rPr>
        <b/>
        <sz val="5.5"/>
        <rFont val="Tahoma"/>
        <family val="2"/>
      </rPr>
      <t>MAY (L3) (W)</t>
    </r>
  </si>
  <si>
    <r>
      <t xml:space="preserve">KANG HEEJUNG
</t>
    </r>
    <r>
      <rPr>
        <b/>
        <sz val="5.5"/>
        <rFont val="Tahoma"/>
        <family val="2"/>
      </rPr>
      <t>MAY (L3)</t>
    </r>
  </si>
  <si>
    <r>
      <t xml:space="preserve">KIM JAEGYUN
</t>
    </r>
    <r>
      <rPr>
        <b/>
        <sz val="5.5"/>
        <rFont val="Tahoma"/>
        <family val="2"/>
      </rPr>
      <t>KIM (L4)  (R ) M122</t>
    </r>
  </si>
  <si>
    <r>
      <t xml:space="preserve">KIM JAEGYUN
</t>
    </r>
    <r>
      <rPr>
        <b/>
        <sz val="5.5"/>
        <rFont val="Tahoma"/>
        <family val="2"/>
      </rPr>
      <t>KIM (L4)  (R ) JHEA</t>
    </r>
  </si>
  <si>
    <r>
      <t xml:space="preserve">KIM JAEGYUN
</t>
    </r>
    <r>
      <rPr>
        <b/>
        <sz val="5.5"/>
        <rFont val="Tahoma"/>
        <family val="2"/>
      </rPr>
      <t>KIM (L4)  (W )</t>
    </r>
  </si>
  <si>
    <r>
      <t xml:space="preserve">KIM JAEGYUN
</t>
    </r>
    <r>
      <rPr>
        <b/>
        <sz val="5.5"/>
        <rFont val="Tahoma"/>
        <family val="2"/>
      </rPr>
      <t>KIM (L4)  (L)</t>
    </r>
  </si>
  <si>
    <r>
      <t xml:space="preserve">KIM JAEGYUN
</t>
    </r>
    <r>
      <rPr>
        <b/>
        <sz val="5.5"/>
        <rFont val="Tahoma"/>
        <family val="2"/>
      </rPr>
      <t>KIM (L4)  (S)</t>
    </r>
  </si>
  <si>
    <r>
      <t xml:space="preserve">KIM JAEGYUN
</t>
    </r>
    <r>
      <rPr>
        <b/>
        <sz val="5.5"/>
        <rFont val="Tahoma"/>
        <family val="2"/>
      </rPr>
      <t xml:space="preserve">KIM (L4) </t>
    </r>
  </si>
  <si>
    <r>
      <t xml:space="preserve">TRAN THI TRANG
</t>
    </r>
    <r>
      <rPr>
        <b/>
        <sz val="5.5"/>
        <rFont val="Tahoma"/>
        <family val="2"/>
      </rPr>
      <t>HELEN TRAN (L3) (S)</t>
    </r>
  </si>
  <si>
    <r>
      <t xml:space="preserve">TRAN THI TRANG
</t>
    </r>
    <r>
      <rPr>
        <b/>
        <sz val="5.5"/>
        <rFont val="Tahoma"/>
        <family val="2"/>
      </rPr>
      <t>HELEN TRAN (L3) (L) RHEA</t>
    </r>
  </si>
  <si>
    <r>
      <t xml:space="preserve">TRAN THI TRANG
</t>
    </r>
    <r>
      <rPr>
        <b/>
        <sz val="5.5"/>
        <rFont val="Tahoma"/>
        <family val="2"/>
      </rPr>
      <t>HELEN TRAN (L3) (L) RHEA M25</t>
    </r>
  </si>
  <si>
    <r>
      <t xml:space="preserve">TRAN THI TRANG
</t>
    </r>
    <r>
      <rPr>
        <b/>
        <sz val="5.5"/>
        <rFont val="Tahoma"/>
        <family val="2"/>
      </rPr>
      <t>HELEN TRAN (L3) ( R )M03</t>
    </r>
  </si>
  <si>
    <r>
      <t xml:space="preserve">TRAN THI TRANG
</t>
    </r>
    <r>
      <rPr>
        <b/>
        <sz val="5.5"/>
        <rFont val="Tahoma"/>
        <family val="2"/>
      </rPr>
      <t>HELEN TRAN (L3) ( R ) KYLE</t>
    </r>
  </si>
  <si>
    <r>
      <t xml:space="preserve">TRAN THI TRANG
</t>
    </r>
    <r>
      <rPr>
        <b/>
        <sz val="5.5"/>
        <rFont val="Tahoma"/>
        <family val="2"/>
      </rPr>
      <t>HELEN TRAN (L3) ( W )M03</t>
    </r>
  </si>
  <si>
    <r>
      <t xml:space="preserve">TRAN THI TRANG
</t>
    </r>
    <r>
      <rPr>
        <b/>
        <sz val="5.5"/>
        <rFont val="Tahoma"/>
        <family val="2"/>
      </rPr>
      <t>HELEN TRAN (L3) ( W )MAX</t>
    </r>
  </si>
  <si>
    <r>
      <t xml:space="preserve">TRAN THI TRANG
</t>
    </r>
    <r>
      <rPr>
        <b/>
        <sz val="5.5"/>
        <rFont val="Tahoma"/>
        <family val="2"/>
      </rPr>
      <t>HELEN TRAN (L3)</t>
    </r>
  </si>
  <si>
    <r>
      <t xml:space="preserve">LE THI HOANG ANH
</t>
    </r>
    <r>
      <rPr>
        <b/>
        <sz val="5.5"/>
        <rFont val="Tahoma"/>
        <family val="2"/>
      </rPr>
      <t>SPOON (L5)  (S)</t>
    </r>
  </si>
  <si>
    <r>
      <t xml:space="preserve">LE THI HOANG ANH
</t>
    </r>
    <r>
      <rPr>
        <b/>
        <sz val="5.5"/>
        <rFont val="Tahoma"/>
        <family val="2"/>
      </rPr>
      <t>SPOON (L5)  (W)</t>
    </r>
  </si>
  <si>
    <r>
      <t xml:space="preserve">LE THI HOANG ANH
</t>
    </r>
    <r>
      <rPr>
        <b/>
        <sz val="5.5"/>
        <rFont val="Tahoma"/>
        <family val="2"/>
      </rPr>
      <t>SPOON (L5)  (W)
M09</t>
    </r>
  </si>
  <si>
    <r>
      <t xml:space="preserve">LE THI HOANG ANH
</t>
    </r>
    <r>
      <rPr>
        <b/>
        <sz val="5.5"/>
        <rFont val="Tahoma"/>
        <family val="2"/>
      </rPr>
      <t>SPOON (L5)  (L)
JANA</t>
    </r>
  </si>
  <si>
    <r>
      <t xml:space="preserve">LE THI HOANG ANH
</t>
    </r>
    <r>
      <rPr>
        <b/>
        <sz val="5.5"/>
        <rFont val="Tahoma"/>
        <family val="2"/>
      </rPr>
      <t>SPOON (L5)  (L)
M03</t>
    </r>
  </si>
  <si>
    <r>
      <t xml:space="preserve">LE THI HOANG ANH
</t>
    </r>
    <r>
      <rPr>
        <b/>
        <sz val="5.5"/>
        <rFont val="Tahoma"/>
        <family val="2"/>
      </rPr>
      <t>SPOON (L5) ( R ) MAX</t>
    </r>
  </si>
  <si>
    <r>
      <t xml:space="preserve">LE THI HOANG ANH
</t>
    </r>
    <r>
      <rPr>
        <b/>
        <sz val="5.5"/>
        <rFont val="Tahoma"/>
        <family val="2"/>
      </rPr>
      <t>SPOON (L5) ( R ) MAX M26</t>
    </r>
  </si>
  <si>
    <r>
      <t xml:space="preserve">LE THI HOANG ANH
</t>
    </r>
    <r>
      <rPr>
        <b/>
        <sz val="5.5"/>
        <rFont val="Tahoma"/>
        <family val="2"/>
      </rPr>
      <t xml:space="preserve">SPOON (L5) ( S ) M03 </t>
    </r>
  </si>
  <si>
    <r>
      <t xml:space="preserve">LE THI HOANG ANH
</t>
    </r>
    <r>
      <rPr>
        <b/>
        <sz val="5.5"/>
        <rFont val="Tahoma"/>
        <family val="2"/>
      </rPr>
      <t xml:space="preserve">SPOON (L5) ( S )
RHEA </t>
    </r>
  </si>
  <si>
    <r>
      <t xml:space="preserve">LE THI HOANG ANH
</t>
    </r>
    <r>
      <rPr>
        <b/>
        <sz val="5.5"/>
        <rFont val="Tahoma"/>
        <family val="2"/>
      </rPr>
      <t xml:space="preserve">SPOON (L5) </t>
    </r>
  </si>
  <si>
    <r>
      <t xml:space="preserve">YUN JIHYE
</t>
    </r>
    <r>
      <rPr>
        <b/>
        <sz val="5.5"/>
        <rFont val="Tahoma"/>
        <family val="2"/>
      </rPr>
      <t>ELLEN ( L4) (L)M03</t>
    </r>
  </si>
  <si>
    <r>
      <t xml:space="preserve">YUN JIHYE
</t>
    </r>
    <r>
      <rPr>
        <b/>
        <sz val="5.5"/>
        <rFont val="Tahoma"/>
        <family val="2"/>
      </rPr>
      <t>ELLEN ( L4) (L) MARGO</t>
    </r>
  </si>
  <si>
    <r>
      <t xml:space="preserve">YUN JIHYE
</t>
    </r>
    <r>
      <rPr>
        <b/>
        <sz val="5.5"/>
        <rFont val="Tahoma"/>
        <family val="2"/>
      </rPr>
      <t>ELLEN ( L4) (R) M03</t>
    </r>
  </si>
  <si>
    <r>
      <t xml:space="preserve">YUN JIHYE
</t>
    </r>
    <r>
      <rPr>
        <b/>
        <sz val="5.5"/>
        <rFont val="Tahoma"/>
        <family val="2"/>
      </rPr>
      <t xml:space="preserve">ELLEN ( L4)(R)JANE </t>
    </r>
  </si>
  <si>
    <r>
      <t xml:space="preserve">YUN JIHYE
</t>
    </r>
    <r>
      <rPr>
        <b/>
        <sz val="5.5"/>
        <rFont val="Tahoma"/>
        <family val="2"/>
      </rPr>
      <t xml:space="preserve">ELLEN ( L4)(S) M03 </t>
    </r>
  </si>
  <si>
    <r>
      <t xml:space="preserve">YUN JIHYE
</t>
    </r>
    <r>
      <rPr>
        <b/>
        <sz val="5.5"/>
        <rFont val="Tahoma"/>
        <family val="2"/>
      </rPr>
      <t xml:space="preserve">ELLEN ( L4)(S) MARGO </t>
    </r>
  </si>
  <si>
    <r>
      <t xml:space="preserve">YUN JIHYE
</t>
    </r>
    <r>
      <rPr>
        <b/>
        <sz val="5.5"/>
        <rFont val="Tahoma"/>
        <family val="2"/>
      </rPr>
      <t>ELLEN ( L4)(W)M03</t>
    </r>
  </si>
  <si>
    <r>
      <t xml:space="preserve">YUN JIHYE
</t>
    </r>
    <r>
      <rPr>
        <b/>
        <sz val="5.5"/>
        <rFont val="Tahoma"/>
        <family val="2"/>
      </rPr>
      <t>ELLEN ( L4)(W) JANE</t>
    </r>
  </si>
  <si>
    <r>
      <t xml:space="preserve">YUN JIHYE
</t>
    </r>
    <r>
      <rPr>
        <b/>
        <sz val="5.5"/>
        <rFont val="Tahoma"/>
        <family val="2"/>
      </rPr>
      <t>ELLEN ( L4)</t>
    </r>
  </si>
  <si>
    <t>KOBI</t>
  </si>
  <si>
    <t>MARGO/KYLE/JANA/JANE/MAX/RHEA</t>
  </si>
  <si>
    <r>
      <t xml:space="preserve">LU SHIH MING
</t>
    </r>
    <r>
      <rPr>
        <b/>
        <sz val="5.5"/>
        <color theme="1"/>
        <rFont val="Tahoma"/>
        <family val="2"/>
      </rPr>
      <t>ELSON (L4)</t>
    </r>
  </si>
  <si>
    <r>
      <t xml:space="preserve">DAVE                                                           </t>
    </r>
    <r>
      <rPr>
        <sz val="5.5"/>
        <color theme="1"/>
        <rFont val="Tahoma"/>
        <family val="2"/>
      </rPr>
      <t xml:space="preserve"> (L2-L3)</t>
    </r>
  </si>
  <si>
    <r>
      <t xml:space="preserve">NOMURA TAKUMI
</t>
    </r>
    <r>
      <rPr>
        <b/>
        <sz val="5.5"/>
        <color theme="1"/>
        <rFont val="Tahoma"/>
        <family val="2"/>
      </rPr>
      <t>MURA</t>
    </r>
    <r>
      <rPr>
        <sz val="5.5"/>
        <color theme="1"/>
        <rFont val="Tahoma"/>
        <family val="2"/>
      </rPr>
      <t xml:space="preserve"> </t>
    </r>
    <r>
      <rPr>
        <b/>
        <sz val="5.5"/>
        <color theme="1"/>
        <rFont val="Tahoma"/>
        <family val="2"/>
      </rPr>
      <t>(L5) (S)</t>
    </r>
  </si>
  <si>
    <r>
      <t xml:space="preserve">NOMURA TAKUMI
</t>
    </r>
    <r>
      <rPr>
        <b/>
        <sz val="5.5"/>
        <color theme="1"/>
        <rFont val="Tahoma"/>
        <family val="2"/>
      </rPr>
      <t>MURA(L5) (L)</t>
    </r>
  </si>
  <si>
    <r>
      <t xml:space="preserve">NOMURA TAKUMI
</t>
    </r>
    <r>
      <rPr>
        <b/>
        <sz val="5.5"/>
        <color theme="1"/>
        <rFont val="Tahoma"/>
        <family val="2"/>
      </rPr>
      <t>MURA  (L5) (R)</t>
    </r>
  </si>
  <si>
    <r>
      <t xml:space="preserve">NOMURA TAKUMI
</t>
    </r>
    <r>
      <rPr>
        <b/>
        <sz val="5.5"/>
        <color theme="1"/>
        <rFont val="Tahoma"/>
        <family val="2"/>
      </rPr>
      <t>MURA(L5) (W) M109</t>
    </r>
  </si>
  <si>
    <r>
      <t xml:space="preserve">NOMURA TAKUMI
</t>
    </r>
    <r>
      <rPr>
        <b/>
        <sz val="5.5"/>
        <color theme="1"/>
        <rFont val="Tahoma"/>
        <family val="2"/>
      </rPr>
      <t>MURA (L5)</t>
    </r>
  </si>
  <si>
    <r>
      <t xml:space="preserve">NOMURA TAKUMI
</t>
    </r>
    <r>
      <rPr>
        <b/>
        <sz val="5.5"/>
        <color theme="1"/>
        <rFont val="Tahoma"/>
        <family val="2"/>
      </rPr>
      <t>MURA(L5)</t>
    </r>
  </si>
  <si>
    <r>
      <t xml:space="preserve">RYOMA UECHI
</t>
    </r>
    <r>
      <rPr>
        <b/>
        <sz val="5.5"/>
        <rFont val="Tahoma"/>
        <family val="2"/>
      </rPr>
      <t xml:space="preserve">RYO (L4) </t>
    </r>
  </si>
  <si>
    <r>
      <t xml:space="preserve">MISUMI AKI
</t>
    </r>
    <r>
      <rPr>
        <b/>
        <sz val="5.5"/>
        <rFont val="Tahoma"/>
        <family val="2"/>
      </rPr>
      <t>AKI (L4) (L) M46</t>
    </r>
  </si>
  <si>
    <r>
      <t xml:space="preserve">WANG WAN TING
</t>
    </r>
    <r>
      <rPr>
        <b/>
        <sz val="5.5"/>
        <color theme="1"/>
        <rFont val="Tahoma"/>
        <family val="2"/>
      </rPr>
      <t>IVY (L4) (W) JHEA</t>
    </r>
  </si>
  <si>
    <r>
      <t xml:space="preserve">TRAN THI THUY HONG
</t>
    </r>
    <r>
      <rPr>
        <b/>
        <sz val="5.5"/>
        <color theme="1"/>
        <rFont val="Tahoma"/>
        <family val="2"/>
      </rPr>
      <t>TRAN (L2) (S) RHEA</t>
    </r>
  </si>
  <si>
    <r>
      <t xml:space="preserve">CHIHO KASAISHI
</t>
    </r>
    <r>
      <rPr>
        <b/>
        <sz val="5.5"/>
        <rFont val="Tahoma"/>
        <family val="2"/>
      </rPr>
      <t>CHIHO (L4) (S)</t>
    </r>
  </si>
  <si>
    <r>
      <t xml:space="preserve">SEKI TAKAHIRO
</t>
    </r>
    <r>
      <rPr>
        <b/>
        <sz val="5.5"/>
        <color theme="1"/>
        <rFont val="Tahoma"/>
        <family val="2"/>
      </rPr>
      <t>KING (L5)</t>
    </r>
  </si>
  <si>
    <r>
      <t xml:space="preserve">MELISSA                                                                  </t>
    </r>
    <r>
      <rPr>
        <sz val="5.5"/>
        <color theme="1"/>
        <rFont val="Tahoma"/>
        <family val="2"/>
      </rPr>
      <t xml:space="preserve"> (B2-I1)</t>
    </r>
  </si>
  <si>
    <r>
      <t xml:space="preserve">OH JOO HEE
</t>
    </r>
    <r>
      <rPr>
        <b/>
        <sz val="5.5"/>
        <color theme="1"/>
        <rFont val="Tahoma"/>
        <family val="2"/>
      </rPr>
      <t>LUCIA (L5) (W)</t>
    </r>
  </si>
  <si>
    <t>FUKUDA AKARI
AKARI (L5) (W) M23</t>
  </si>
  <si>
    <r>
      <rPr>
        <sz val="5.5"/>
        <color theme="1"/>
        <rFont val="Tahoma"/>
        <family val="2"/>
      </rPr>
      <t xml:space="preserve">CHANG CHENG TA
</t>
    </r>
    <r>
      <rPr>
        <b/>
        <sz val="5.5"/>
        <color theme="1"/>
        <rFont val="Tahoma"/>
        <family val="2"/>
      </rPr>
      <t xml:space="preserve">ANDY (L5) </t>
    </r>
  </si>
  <si>
    <r>
      <t xml:space="preserve">NGUYEN THI THUY NGA
</t>
    </r>
    <r>
      <rPr>
        <b/>
        <sz val="5.5"/>
        <color theme="1"/>
        <rFont val="Tahoma"/>
        <family val="2"/>
      </rPr>
      <t>ANNIE (L4)</t>
    </r>
  </si>
  <si>
    <r>
      <rPr>
        <sz val="5.5"/>
        <color theme="1"/>
        <rFont val="Tahoma"/>
        <family val="2"/>
      </rPr>
      <t xml:space="preserve">SOHN SUMIN
</t>
    </r>
    <r>
      <rPr>
        <b/>
        <sz val="5.5"/>
        <color theme="1"/>
        <rFont val="Tahoma"/>
        <family val="2"/>
      </rPr>
      <t>LUNA  (L5)</t>
    </r>
  </si>
  <si>
    <t xml:space="preserve">     CLASS SCHEDULE MARCH 01, 2017</t>
  </si>
  <si>
    <t xml:space="preserve">     CLASS SCHEDULE MARCH  01,2017</t>
  </si>
  <si>
    <r>
      <t xml:space="preserve">JUNHYUNG JIN
</t>
    </r>
    <r>
      <rPr>
        <b/>
        <sz val="5.5"/>
        <color theme="1"/>
        <rFont val="Tahoma"/>
        <family val="2"/>
      </rPr>
      <t xml:space="preserve">JERRY (L4) </t>
    </r>
  </si>
  <si>
    <t>JOSIE/RHEA/JHEA</t>
  </si>
  <si>
    <r>
      <t xml:space="preserve">JIHOON KANG
</t>
    </r>
    <r>
      <rPr>
        <b/>
        <sz val="5.5"/>
        <rFont val="Tahoma"/>
        <family val="2"/>
      </rPr>
      <t>HOON</t>
    </r>
  </si>
  <si>
    <r>
      <t xml:space="preserve">HAN GEUN SEOK
</t>
    </r>
    <r>
      <rPr>
        <b/>
        <sz val="5.5"/>
        <rFont val="Tahoma"/>
        <family val="2"/>
      </rPr>
      <t>JAMES SEOK (L3)  (L) JANA</t>
    </r>
  </si>
  <si>
    <r>
      <t xml:space="preserve">HAN GEUN SEOK
</t>
    </r>
    <r>
      <rPr>
        <b/>
        <sz val="5.5"/>
        <rFont val="Tahoma"/>
        <family val="2"/>
      </rPr>
      <t>JAMES SEOK (L3)  (S) MARGO</t>
    </r>
  </si>
  <si>
    <r>
      <t xml:space="preserve">HAN GEUN SEOK
</t>
    </r>
    <r>
      <rPr>
        <b/>
        <sz val="5.5"/>
        <rFont val="Tahoma"/>
        <family val="2"/>
      </rPr>
      <t>JAMES SEOK (L3)  (W)DONNA</t>
    </r>
  </si>
  <si>
    <r>
      <t xml:space="preserve">HAN GEUN SEOK
</t>
    </r>
    <r>
      <rPr>
        <b/>
        <sz val="5.5"/>
        <rFont val="Tahoma"/>
        <family val="2"/>
      </rPr>
      <t>JAMES SEOK (L3)  ( R) CHECHE</t>
    </r>
  </si>
  <si>
    <r>
      <t xml:space="preserve">HAN GEUN SEOK
</t>
    </r>
    <r>
      <rPr>
        <b/>
        <sz val="5.5"/>
        <rFont val="Tahoma"/>
        <family val="2"/>
      </rPr>
      <t>JAMES SEOK (L3)  ( R) M94</t>
    </r>
  </si>
  <si>
    <r>
      <t xml:space="preserve">HAN GEUN SEOK
</t>
    </r>
    <r>
      <rPr>
        <b/>
        <sz val="5.5"/>
        <rFont val="Tahoma"/>
        <family val="2"/>
      </rPr>
      <t>JAMES SEOK (L3)  (W) M16</t>
    </r>
  </si>
  <si>
    <r>
      <t xml:space="preserve">HAN GEUN SEOK
</t>
    </r>
    <r>
      <rPr>
        <b/>
        <sz val="5.5"/>
        <rFont val="Tahoma"/>
        <family val="2"/>
      </rPr>
      <t>JAMES SEOK (L3)  (L) JANA M02</t>
    </r>
  </si>
  <si>
    <r>
      <t xml:space="preserve">HAN GEUN SEOK
</t>
    </r>
    <r>
      <rPr>
        <b/>
        <sz val="5.5"/>
        <rFont val="Tahoma"/>
        <family val="2"/>
      </rPr>
      <t>JAMES SEOK (L3)  (S) MARGO M03</t>
    </r>
  </si>
  <si>
    <r>
      <t xml:space="preserve">HAN GEUN SEOK
</t>
    </r>
    <r>
      <rPr>
        <b/>
        <sz val="5.5"/>
        <rFont val="Tahoma"/>
        <family val="2"/>
      </rPr>
      <t>JAMES SEOK (L3)</t>
    </r>
  </si>
  <si>
    <r>
      <t xml:space="preserve">KUSABA SHINTARO
</t>
    </r>
    <r>
      <rPr>
        <b/>
        <sz val="5.5"/>
        <rFont val="Tahoma"/>
        <family val="2"/>
      </rPr>
      <t>TARO (L6)</t>
    </r>
  </si>
  <si>
    <r>
      <t xml:space="preserve">KUSABA SHINTARO
</t>
    </r>
    <r>
      <rPr>
        <b/>
        <sz val="5.5"/>
        <rFont val="Tahoma"/>
        <family val="2"/>
      </rPr>
      <t>TARO (L6) (L)</t>
    </r>
  </si>
  <si>
    <r>
      <t xml:space="preserve">KUSABA SHINTARO
</t>
    </r>
    <r>
      <rPr>
        <b/>
        <sz val="5.5"/>
        <rFont val="Tahoma"/>
        <family val="2"/>
      </rPr>
      <t>TARO(L6) (S)</t>
    </r>
  </si>
  <si>
    <r>
      <t xml:space="preserve">KUSABA SHINTARO
</t>
    </r>
    <r>
      <rPr>
        <b/>
        <sz val="5.5"/>
        <rFont val="Tahoma"/>
        <family val="2"/>
      </rPr>
      <t>TARO (L6) (S)</t>
    </r>
  </si>
  <si>
    <r>
      <t xml:space="preserve">KUSABA SHINTARO
</t>
    </r>
    <r>
      <rPr>
        <b/>
        <sz val="5.5"/>
        <rFont val="Tahoma"/>
        <family val="2"/>
      </rPr>
      <t>TARO(L6) (R)</t>
    </r>
  </si>
  <si>
    <r>
      <t xml:space="preserve">KUSABA SHINTARO
</t>
    </r>
    <r>
      <rPr>
        <b/>
        <sz val="5.5"/>
        <rFont val="Tahoma"/>
        <family val="2"/>
      </rPr>
      <t>TARO (L6) (W)</t>
    </r>
  </si>
  <si>
    <r>
      <rPr>
        <sz val="5.5"/>
        <color theme="1"/>
        <rFont val="Tahoma"/>
        <family val="2"/>
      </rPr>
      <t>CHIKAKO NASU</t>
    </r>
    <r>
      <rPr>
        <b/>
        <sz val="5.5"/>
        <color theme="1"/>
        <rFont val="Tahoma"/>
        <family val="2"/>
      </rPr>
      <t xml:space="preserve">
CHIKA</t>
    </r>
  </si>
  <si>
    <r>
      <t xml:space="preserve">ISHIKAWA YUMI
</t>
    </r>
    <r>
      <rPr>
        <b/>
        <sz val="5.5"/>
        <rFont val="Tahoma"/>
        <family val="2"/>
      </rPr>
      <t>RIKA (L5) (W)</t>
    </r>
  </si>
  <si>
    <r>
      <t xml:space="preserve">ISHIKAWA YUMI
</t>
    </r>
    <r>
      <rPr>
        <b/>
        <sz val="5.5"/>
        <rFont val="Tahoma"/>
        <family val="2"/>
      </rPr>
      <t>RIKA  (L5) (R)</t>
    </r>
  </si>
  <si>
    <r>
      <t xml:space="preserve">ISHIKAWA YUMI
</t>
    </r>
    <r>
      <rPr>
        <b/>
        <sz val="5.5"/>
        <rFont val="Tahoma"/>
        <family val="2"/>
      </rPr>
      <t>RIKA  (L5) (L)</t>
    </r>
  </si>
  <si>
    <r>
      <t xml:space="preserve">ISHIKAWA YUMI
</t>
    </r>
    <r>
      <rPr>
        <b/>
        <sz val="5.5"/>
        <rFont val="Tahoma"/>
        <family val="2"/>
      </rPr>
      <t>RIKA (L5) (S)</t>
    </r>
  </si>
  <si>
    <r>
      <t xml:space="preserve">ISHIKAWA YUMI
</t>
    </r>
    <r>
      <rPr>
        <b/>
        <sz val="5.5"/>
        <rFont val="Tahoma"/>
        <family val="2"/>
      </rPr>
      <t xml:space="preserve">RIKA  (L5) </t>
    </r>
  </si>
  <si>
    <r>
      <t xml:space="preserve">WANG WAN TING
</t>
    </r>
    <r>
      <rPr>
        <b/>
        <sz val="5.5"/>
        <color theme="1"/>
        <rFont val="Tahoma"/>
        <family val="2"/>
      </rPr>
      <t>IVY (L4)</t>
    </r>
  </si>
  <si>
    <t>DONNA/JHEA/RHEA</t>
  </si>
  <si>
    <r>
      <t xml:space="preserve">KURASAWA SORA
</t>
    </r>
    <r>
      <rPr>
        <b/>
        <sz val="5.5"/>
        <rFont val="Tahoma"/>
        <family val="2"/>
      </rPr>
      <t>SKY (L5) ( R)</t>
    </r>
  </si>
  <si>
    <r>
      <t xml:space="preserve">KURASAWA SORA
</t>
    </r>
    <r>
      <rPr>
        <b/>
        <sz val="5.5"/>
        <rFont val="Tahoma"/>
        <family val="2"/>
      </rPr>
      <t>SKY (L5) (S) JANA</t>
    </r>
  </si>
  <si>
    <r>
      <t xml:space="preserve">KURASAWA SORA
</t>
    </r>
    <r>
      <rPr>
        <b/>
        <sz val="5.5"/>
        <rFont val="Tahoma"/>
        <family val="2"/>
      </rPr>
      <t>SKY (L5) ( W)</t>
    </r>
  </si>
  <si>
    <r>
      <t xml:space="preserve">KURASAWA SORA
</t>
    </r>
    <r>
      <rPr>
        <b/>
        <sz val="5.5"/>
        <rFont val="Tahoma"/>
        <family val="2"/>
      </rPr>
      <t>SKY  (L5) (S) JANA M15</t>
    </r>
  </si>
  <si>
    <r>
      <t xml:space="preserve">KURASAWA SORA
</t>
    </r>
    <r>
      <rPr>
        <b/>
        <sz val="5.5"/>
        <rFont val="Tahoma"/>
        <family val="2"/>
      </rPr>
      <t>SKY (L5) (S)</t>
    </r>
  </si>
  <si>
    <r>
      <t xml:space="preserve">KURASAWA SORA
</t>
    </r>
    <r>
      <rPr>
        <b/>
        <sz val="5.5"/>
        <rFont val="Tahoma"/>
        <family val="2"/>
      </rPr>
      <t>SKY (L5) (L)</t>
    </r>
  </si>
  <si>
    <r>
      <t xml:space="preserve">KURASAWA SORA
</t>
    </r>
    <r>
      <rPr>
        <b/>
        <sz val="5.5"/>
        <rFont val="Tahoma"/>
        <family val="2"/>
      </rPr>
      <t>SKY  (L5)</t>
    </r>
  </si>
  <si>
    <r>
      <t xml:space="preserve">KURASAWA SORA
</t>
    </r>
    <r>
      <rPr>
        <b/>
        <sz val="5.5"/>
        <rFont val="Tahoma"/>
        <family val="2"/>
      </rPr>
      <t>SKY (L5)</t>
    </r>
  </si>
  <si>
    <r>
      <t xml:space="preserve">KEVIN       </t>
    </r>
    <r>
      <rPr>
        <sz val="5.5"/>
        <color theme="1"/>
        <rFont val="Tahoma"/>
        <family val="2"/>
      </rPr>
      <t xml:space="preserve">                    (IELTS-SPEAKING)</t>
    </r>
  </si>
  <si>
    <r>
      <t xml:space="preserve">MIKA IWASAKI
</t>
    </r>
    <r>
      <rPr>
        <b/>
        <sz val="5.5"/>
        <rFont val="Tahoma"/>
        <family val="2"/>
      </rPr>
      <t>MITCHEL (L2) (S)</t>
    </r>
  </si>
  <si>
    <r>
      <t xml:space="preserve">MIKA IWASAKI
</t>
    </r>
    <r>
      <rPr>
        <b/>
        <sz val="5.5"/>
        <rFont val="Tahoma"/>
        <family val="2"/>
      </rPr>
      <t>MITCHEL(L2) (L)</t>
    </r>
  </si>
  <si>
    <r>
      <t xml:space="preserve">MIKA IWASAKI
</t>
    </r>
    <r>
      <rPr>
        <b/>
        <sz val="5.5"/>
        <rFont val="Tahoma"/>
        <family val="2"/>
      </rPr>
      <t>MITCHEL(L2) (W)</t>
    </r>
  </si>
  <si>
    <r>
      <t xml:space="preserve">MIKA IWASAKI
</t>
    </r>
    <r>
      <rPr>
        <b/>
        <sz val="5.5"/>
        <rFont val="Tahoma"/>
        <family val="2"/>
      </rPr>
      <t>MITCHEL (L2) (R)</t>
    </r>
  </si>
  <si>
    <r>
      <t xml:space="preserve">MIKA IWASAKI
</t>
    </r>
    <r>
      <rPr>
        <b/>
        <sz val="5.5"/>
        <rFont val="Tahoma"/>
        <family val="2"/>
      </rPr>
      <t>MITCHEL (L2)</t>
    </r>
  </si>
  <si>
    <r>
      <t xml:space="preserve">MIKA IWASAKI
</t>
    </r>
    <r>
      <rPr>
        <b/>
        <sz val="5.5"/>
        <rFont val="Tahoma"/>
        <family val="2"/>
      </rPr>
      <t>MITCHEL(L2)</t>
    </r>
  </si>
</sst>
</file>

<file path=xl/styles.xml><?xml version="1.0" encoding="utf-8"?>
<styleSheet xmlns="http://schemas.openxmlformats.org/spreadsheetml/2006/main">
  <fonts count="64">
    <font>
      <sz val="11"/>
      <color indexed="8"/>
      <name val="Calibri"/>
      <charset val="129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indexed="8"/>
      <name val="Calibri"/>
      <family val="2"/>
    </font>
    <font>
      <b/>
      <sz val="9"/>
      <color indexed="8"/>
      <name val="Calibri"/>
      <family val="2"/>
    </font>
    <font>
      <sz val="8"/>
      <color indexed="8"/>
      <name val="Calibri"/>
      <family val="2"/>
    </font>
    <font>
      <b/>
      <sz val="7"/>
      <name val="Tahoma"/>
      <family val="2"/>
    </font>
    <font>
      <b/>
      <sz val="6"/>
      <name val="Tahoma"/>
      <family val="2"/>
    </font>
    <font>
      <b/>
      <sz val="5.5"/>
      <name val="Tahoma"/>
      <family val="2"/>
    </font>
    <font>
      <b/>
      <sz val="6"/>
      <color indexed="12"/>
      <name val="Tahoma"/>
      <family val="2"/>
    </font>
    <font>
      <sz val="6"/>
      <color indexed="63"/>
      <name val="Tahoma"/>
      <family val="2"/>
    </font>
    <font>
      <sz val="5.5"/>
      <name val="Tahoma"/>
      <family val="2"/>
    </font>
    <font>
      <sz val="8"/>
      <name val="Tahoma"/>
      <family val="2"/>
    </font>
    <font>
      <b/>
      <sz val="6"/>
      <color indexed="63"/>
      <name val="Tahoma"/>
      <family val="2"/>
    </font>
    <font>
      <b/>
      <sz val="18"/>
      <color indexed="63"/>
      <name val="Jokerman"/>
      <family val="5"/>
    </font>
    <font>
      <b/>
      <sz val="9"/>
      <color indexed="63"/>
      <name val="Tahoma"/>
      <family val="2"/>
    </font>
    <font>
      <b/>
      <sz val="8"/>
      <color indexed="63"/>
      <name val="Tahoma"/>
      <family val="2"/>
    </font>
    <font>
      <sz val="5.5"/>
      <color theme="1"/>
      <name val="Tahoma"/>
      <family val="2"/>
    </font>
    <font>
      <b/>
      <sz val="5.5"/>
      <color theme="1"/>
      <name val="Tahoma"/>
      <family val="2"/>
    </font>
    <font>
      <sz val="5.5"/>
      <name val="Times New Roman"/>
      <family val="1"/>
    </font>
    <font>
      <b/>
      <sz val="14"/>
      <color indexed="9"/>
      <name val="Tahoma"/>
      <family val="2"/>
    </font>
    <font>
      <b/>
      <sz val="8"/>
      <name val="Tahoma"/>
      <family val="2"/>
    </font>
    <font>
      <sz val="5.5"/>
      <color rgb="FF000000"/>
      <name val="Tahoma"/>
      <family val="2"/>
    </font>
    <font>
      <b/>
      <sz val="6"/>
      <color theme="1"/>
      <name val="Tahoma"/>
      <family val="2"/>
    </font>
    <font>
      <b/>
      <sz val="16"/>
      <color theme="1"/>
      <name val="Jokerman"/>
      <family val="5"/>
    </font>
    <font>
      <sz val="6"/>
      <color theme="1"/>
      <name val="Tahoma"/>
      <family val="2"/>
    </font>
    <font>
      <sz val="5.5"/>
      <color theme="1"/>
      <name val="Calibri"/>
      <family val="2"/>
    </font>
    <font>
      <sz val="11"/>
      <color theme="1"/>
      <name val="Calibri"/>
      <family val="2"/>
    </font>
    <font>
      <b/>
      <sz val="5.5"/>
      <color rgb="FF000000"/>
      <name val="Tahoma"/>
      <family val="2"/>
    </font>
    <font>
      <b/>
      <sz val="9"/>
      <color theme="1"/>
      <name val="Tahoma"/>
      <family val="2"/>
    </font>
    <font>
      <b/>
      <sz val="12"/>
      <color theme="1"/>
      <name val="Tahoma"/>
      <family val="2"/>
    </font>
    <font>
      <b/>
      <sz val="16"/>
      <color indexed="8"/>
      <name val="Jokerman"/>
      <family val="5"/>
    </font>
    <font>
      <b/>
      <sz val="6"/>
      <color indexed="10"/>
      <name val="Tahoma"/>
      <family val="2"/>
    </font>
    <font>
      <b/>
      <sz val="8"/>
      <color indexed="10"/>
      <name val="Calibri"/>
      <family val="2"/>
    </font>
    <font>
      <b/>
      <sz val="6"/>
      <color indexed="8"/>
      <name val="Tahoma"/>
      <family val="2"/>
    </font>
    <font>
      <b/>
      <sz val="6"/>
      <color indexed="56"/>
      <name val="Tahoma"/>
      <family val="2"/>
    </font>
    <font>
      <b/>
      <sz val="8"/>
      <color indexed="8"/>
      <name val="Calibri"/>
      <family val="2"/>
    </font>
    <font>
      <b/>
      <sz val="5.5"/>
      <color indexed="10"/>
      <name val="Tahoma"/>
      <family val="2"/>
    </font>
    <font>
      <sz val="6"/>
      <name val="Tahoma"/>
      <family val="2"/>
    </font>
    <font>
      <b/>
      <sz val="11"/>
      <color indexed="8"/>
      <name val="Calibri"/>
      <family val="2"/>
    </font>
    <font>
      <sz val="8"/>
      <name val="돋움"/>
      <charset val="129"/>
    </font>
    <font>
      <sz val="11"/>
      <name val="Tahoma"/>
      <family val="2"/>
    </font>
    <font>
      <b/>
      <sz val="8"/>
      <name val="Calibri"/>
      <family val="2"/>
    </font>
    <font>
      <b/>
      <sz val="8"/>
      <name val="돋움"/>
      <charset val="129"/>
    </font>
    <font>
      <b/>
      <sz val="7"/>
      <name val="Georgia"/>
      <family val="1"/>
    </font>
    <font>
      <b/>
      <sz val="7"/>
      <color indexed="8"/>
      <name val="Tahoma"/>
      <family val="2"/>
    </font>
    <font>
      <sz val="5.5"/>
      <color indexed="10"/>
      <name val="Tahoma"/>
      <family val="2"/>
    </font>
    <font>
      <b/>
      <sz val="10"/>
      <color indexed="8"/>
      <name val="Calibri"/>
      <family val="2"/>
    </font>
    <font>
      <b/>
      <sz val="7"/>
      <color indexed="10"/>
      <name val="Tahoma"/>
      <family val="2"/>
    </font>
    <font>
      <sz val="11"/>
      <color rgb="FF9A789B"/>
      <name val="Calibri"/>
      <family val="2"/>
    </font>
    <font>
      <b/>
      <sz val="11"/>
      <color indexed="8"/>
      <name val="Calibri"/>
      <family val="2"/>
    </font>
    <font>
      <b/>
      <sz val="16"/>
      <name val="Jokerman"/>
      <family val="5"/>
    </font>
    <font>
      <b/>
      <sz val="5"/>
      <color indexed="10"/>
      <name val="Tahoma"/>
      <family val="2"/>
    </font>
    <font>
      <sz val="5"/>
      <color indexed="63"/>
      <name val="Tahoma"/>
      <family val="2"/>
    </font>
    <font>
      <b/>
      <sz val="12"/>
      <color indexed="10"/>
      <name val="Calibri"/>
      <family val="2"/>
    </font>
    <font>
      <sz val="10"/>
      <name val="Arial"/>
      <family val="2"/>
    </font>
    <font>
      <sz val="11"/>
      <name val="돋움"/>
      <charset val="134"/>
    </font>
    <font>
      <sz val="11"/>
      <color indexed="17"/>
      <name val="Calibri"/>
      <family val="2"/>
    </font>
    <font>
      <sz val="12"/>
      <name val="Times New Roman"/>
      <family val="1"/>
    </font>
    <font>
      <sz val="5.5"/>
      <color theme="1"/>
      <name val="SimSun"/>
    </font>
    <font>
      <b/>
      <sz val="5.5"/>
      <name val="Times New Roman"/>
      <family val="1"/>
    </font>
    <font>
      <sz val="5.5"/>
      <color theme="1"/>
      <name val="Tahoma"/>
      <family val="2"/>
    </font>
    <font>
      <sz val="5.5"/>
      <name val="Tahoma"/>
      <family val="2"/>
    </font>
    <font>
      <sz val="5.5"/>
      <name val="蹈框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B83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D11F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C99FF"/>
        <bgColor rgb="FF000000"/>
      </patternFill>
    </fill>
    <fill>
      <patternFill patternType="solid">
        <fgColor indexed="49"/>
        <bgColor indexed="64"/>
      </patternFill>
    </fill>
    <fill>
      <patternFill patternType="solid">
        <fgColor rgb="FF85639B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0">
      <alignment vertical="center"/>
    </xf>
    <xf numFmtId="0" fontId="55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8" fillId="0" borderId="0">
      <alignment vertical="center"/>
    </xf>
    <xf numFmtId="0" fontId="1" fillId="0" borderId="0">
      <alignment vertical="center"/>
    </xf>
  </cellStyleXfs>
  <cellXfs count="621">
    <xf numFmtId="0" fontId="0" fillId="0" borderId="0" xfId="0">
      <alignment vertical="center"/>
    </xf>
    <xf numFmtId="0" fontId="2" fillId="2" borderId="4" xfId="12" applyFont="1" applyFill="1" applyBorder="1" applyAlignment="1">
      <alignment horizontal="center" vertical="center"/>
    </xf>
    <xf numFmtId="0" fontId="3" fillId="0" borderId="4" xfId="12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vertical="center"/>
      <protection locked="0"/>
    </xf>
    <xf numFmtId="0" fontId="5" fillId="0" borderId="6" xfId="0" applyFont="1" applyBorder="1">
      <alignment vertical="center"/>
    </xf>
    <xf numFmtId="0" fontId="1" fillId="4" borderId="7" xfId="12" applyFill="1" applyBorder="1" applyAlignment="1">
      <alignment horizontal="center" vertical="center"/>
    </xf>
    <xf numFmtId="0" fontId="3" fillId="0" borderId="7" xfId="12" applyFont="1" applyBorder="1" applyAlignment="1">
      <alignment horizontal="center" vertical="center"/>
    </xf>
    <xf numFmtId="0" fontId="6" fillId="5" borderId="8" xfId="5" applyFont="1" applyFill="1" applyBorder="1" applyAlignment="1" applyProtection="1">
      <alignment vertical="center" wrapText="1"/>
      <protection locked="0"/>
    </xf>
    <xf numFmtId="0" fontId="5" fillId="0" borderId="9" xfId="0" applyFont="1" applyBorder="1">
      <alignment vertical="center"/>
    </xf>
    <xf numFmtId="0" fontId="7" fillId="6" borderId="7" xfId="8" applyFont="1" applyFill="1" applyBorder="1" applyAlignment="1">
      <alignment horizontal="center" vertical="center" wrapText="1"/>
    </xf>
    <xf numFmtId="0" fontId="3" fillId="0" borderId="7" xfId="12" applyFont="1" applyBorder="1" applyAlignment="1">
      <alignment horizontal="center" vertical="center" wrapText="1"/>
    </xf>
    <xf numFmtId="0" fontId="7" fillId="7" borderId="7" xfId="8" applyFont="1" applyFill="1" applyBorder="1" applyAlignment="1">
      <alignment horizontal="center" vertical="center" wrapText="1"/>
    </xf>
    <xf numFmtId="0" fontId="8" fillId="8" borderId="10" xfId="8" applyFont="1" applyFill="1" applyBorder="1" applyAlignment="1">
      <alignment horizontal="center" vertical="center" wrapText="1"/>
    </xf>
    <xf numFmtId="0" fontId="3" fillId="0" borderId="10" xfId="12" applyFont="1" applyBorder="1" applyAlignment="1">
      <alignment horizontal="center" vertical="center"/>
    </xf>
    <xf numFmtId="0" fontId="9" fillId="9" borderId="10" xfId="8" applyFont="1" applyFill="1" applyBorder="1" applyAlignment="1">
      <alignment horizontal="center" vertical="center" wrapText="1"/>
    </xf>
    <xf numFmtId="0" fontId="10" fillId="10" borderId="11" xfId="1" applyFont="1" applyFill="1" applyBorder="1" applyAlignment="1">
      <alignment horizontal="center" vertical="center" wrapText="1"/>
    </xf>
    <xf numFmtId="20" fontId="3" fillId="0" borderId="12" xfId="12" applyNumberFormat="1" applyFont="1" applyBorder="1" applyAlignment="1">
      <alignment horizontal="center" vertical="center"/>
    </xf>
    <xf numFmtId="0" fontId="11" fillId="11" borderId="13" xfId="8" applyFont="1" applyFill="1" applyBorder="1" applyAlignment="1">
      <alignment horizontal="center" vertical="center" wrapText="1"/>
    </xf>
    <xf numFmtId="0" fontId="3" fillId="0" borderId="13" xfId="12" applyFont="1" applyBorder="1" applyAlignment="1">
      <alignment horizontal="center" vertical="center"/>
    </xf>
    <xf numFmtId="0" fontId="7" fillId="12" borderId="7" xfId="8" applyFont="1" applyFill="1" applyBorder="1" applyAlignment="1">
      <alignment horizontal="center" vertical="center" wrapText="1"/>
    </xf>
    <xf numFmtId="0" fontId="1" fillId="13" borderId="10" xfId="12" applyFill="1" applyBorder="1" applyAlignment="1">
      <alignment horizontal="center" vertical="center"/>
    </xf>
    <xf numFmtId="0" fontId="11" fillId="14" borderId="10" xfId="8" applyFont="1" applyFill="1" applyBorder="1" applyAlignment="1">
      <alignment horizontal="center" vertical="center" wrapText="1"/>
    </xf>
    <xf numFmtId="0" fontId="11" fillId="15" borderId="14" xfId="8" applyFont="1" applyFill="1" applyBorder="1" applyAlignment="1">
      <alignment horizontal="center" vertical="center" wrapText="1"/>
    </xf>
    <xf numFmtId="0" fontId="3" fillId="0" borderId="12" xfId="12" applyFont="1" applyFill="1" applyBorder="1" applyAlignment="1">
      <alignment horizontal="center" vertical="center"/>
    </xf>
    <xf numFmtId="0" fontId="10" fillId="5" borderId="12" xfId="1" applyFont="1" applyFill="1" applyBorder="1" applyAlignment="1">
      <alignment horizontal="center" vertical="center" wrapText="1"/>
    </xf>
    <xf numFmtId="0" fontId="12" fillId="7" borderId="12" xfId="8" applyFont="1" applyFill="1" applyBorder="1" applyAlignment="1">
      <alignment horizontal="center" vertical="center" wrapText="1"/>
    </xf>
    <xf numFmtId="0" fontId="10" fillId="16" borderId="11" xfId="1" applyFont="1" applyFill="1" applyBorder="1" applyAlignment="1">
      <alignment horizontal="center" vertical="center" wrapText="1"/>
    </xf>
    <xf numFmtId="0" fontId="3" fillId="0" borderId="12" xfId="12" applyFont="1" applyBorder="1" applyAlignment="1">
      <alignment horizontal="center" vertical="center"/>
    </xf>
    <xf numFmtId="0" fontId="13" fillId="17" borderId="12" xfId="1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0" fontId="0" fillId="7" borderId="0" xfId="0" applyFill="1">
      <alignment vertical="center"/>
    </xf>
    <xf numFmtId="49" fontId="7" fillId="18" borderId="17" xfId="1" applyNumberFormat="1" applyFont="1" applyFill="1" applyBorder="1" applyAlignment="1" applyProtection="1">
      <alignment horizontal="center" vertical="center" wrapText="1"/>
      <protection locked="0"/>
    </xf>
    <xf numFmtId="0" fontId="7" fillId="18" borderId="17" xfId="1" applyFont="1" applyFill="1" applyBorder="1" applyAlignment="1" applyProtection="1">
      <alignment horizontal="center" vertical="center" wrapText="1"/>
      <protection locked="0"/>
    </xf>
    <xf numFmtId="49" fontId="7" fillId="18" borderId="19" xfId="1" applyNumberFormat="1" applyFont="1" applyFill="1" applyBorder="1" applyAlignment="1" applyProtection="1">
      <alignment horizontal="center" vertical="center" wrapText="1"/>
      <protection locked="0"/>
    </xf>
    <xf numFmtId="0" fontId="17" fillId="19" borderId="5" xfId="8" applyFont="1" applyFill="1" applyBorder="1" applyAlignment="1" applyProtection="1">
      <alignment horizontal="center" vertical="center" wrapText="1"/>
      <protection locked="0"/>
    </xf>
    <xf numFmtId="0" fontId="11" fillId="13" borderId="15" xfId="8" applyFont="1" applyFill="1" applyBorder="1" applyAlignment="1" applyProtection="1">
      <alignment horizontal="center" vertical="center" wrapText="1"/>
      <protection locked="0"/>
    </xf>
    <xf numFmtId="0" fontId="17" fillId="19" borderId="15" xfId="8" applyFont="1" applyFill="1" applyBorder="1" applyAlignment="1" applyProtection="1">
      <alignment horizontal="center" vertical="center" wrapText="1"/>
      <protection locked="0"/>
    </xf>
    <xf numFmtId="0" fontId="17" fillId="19" borderId="16" xfId="8" applyFont="1" applyFill="1" applyBorder="1" applyAlignment="1" applyProtection="1">
      <alignment horizontal="center" vertical="center" wrapText="1"/>
      <protection locked="0"/>
    </xf>
    <xf numFmtId="0" fontId="17" fillId="19" borderId="17" xfId="8" applyFont="1" applyFill="1" applyBorder="1" applyAlignment="1" applyProtection="1">
      <alignment horizontal="center" vertical="center" wrapText="1"/>
      <protection locked="0"/>
    </xf>
    <xf numFmtId="0" fontId="11" fillId="13" borderId="17" xfId="8" applyFont="1" applyFill="1" applyBorder="1" applyAlignment="1" applyProtection="1">
      <alignment horizontal="center" vertical="center" wrapText="1"/>
      <protection locked="0"/>
    </xf>
    <xf numFmtId="0" fontId="11" fillId="19" borderId="17" xfId="8" applyFont="1" applyFill="1" applyBorder="1" applyAlignment="1" applyProtection="1">
      <alignment horizontal="center" vertical="center" wrapText="1"/>
      <protection locked="0"/>
    </xf>
    <xf numFmtId="0" fontId="11" fillId="21" borderId="17" xfId="8" applyFont="1" applyFill="1" applyBorder="1" applyAlignment="1" applyProtection="1">
      <alignment horizontal="center" vertical="center" wrapText="1"/>
      <protection locked="0"/>
    </xf>
    <xf numFmtId="0" fontId="11" fillId="22" borderId="17" xfId="8" applyFont="1" applyFill="1" applyBorder="1" applyAlignment="1" applyProtection="1">
      <alignment horizontal="center" vertical="center" wrapText="1"/>
      <protection locked="0"/>
    </xf>
    <xf numFmtId="0" fontId="17" fillId="22" borderId="17" xfId="8" applyFont="1" applyFill="1" applyBorder="1" applyAlignment="1" applyProtection="1">
      <alignment horizontal="center" vertical="center" wrapText="1"/>
      <protection locked="0"/>
    </xf>
    <xf numFmtId="0" fontId="11" fillId="22" borderId="17" xfId="0" applyFont="1" applyFill="1" applyBorder="1" applyAlignment="1">
      <alignment horizontal="center" vertical="center" wrapText="1"/>
    </xf>
    <xf numFmtId="0" fontId="11" fillId="19" borderId="16" xfId="8" applyFont="1" applyFill="1" applyBorder="1" applyAlignment="1" applyProtection="1">
      <alignment horizontal="center" vertical="center" wrapText="1"/>
      <protection locked="0"/>
    </xf>
    <xf numFmtId="0" fontId="11" fillId="20" borderId="17" xfId="0" applyFont="1" applyFill="1" applyBorder="1" applyAlignment="1">
      <alignment horizontal="center" vertical="center" wrapText="1"/>
    </xf>
    <xf numFmtId="0" fontId="17" fillId="22" borderId="16" xfId="8" applyFont="1" applyFill="1" applyBorder="1" applyAlignment="1" applyProtection="1">
      <alignment horizontal="center" vertical="center" wrapText="1"/>
      <protection locked="0"/>
    </xf>
    <xf numFmtId="0" fontId="18" fillId="23" borderId="17" xfId="1" applyFont="1" applyFill="1" applyBorder="1" applyAlignment="1" applyProtection="1">
      <alignment horizontal="center" vertical="center" wrapText="1"/>
      <protection locked="0"/>
    </xf>
    <xf numFmtId="0" fontId="17" fillId="22" borderId="17" xfId="8" applyFont="1" applyFill="1" applyBorder="1" applyAlignment="1">
      <alignment horizontal="center" vertical="center" wrapText="1"/>
    </xf>
    <xf numFmtId="0" fontId="19" fillId="22" borderId="17" xfId="0" applyFont="1" applyFill="1" applyBorder="1" applyAlignment="1">
      <alignment horizontal="center" vertical="center" wrapText="1"/>
    </xf>
    <xf numFmtId="0" fontId="11" fillId="20" borderId="16" xfId="0" applyFont="1" applyFill="1" applyBorder="1" applyAlignment="1">
      <alignment horizontal="center" vertical="center" wrapText="1"/>
    </xf>
    <xf numFmtId="0" fontId="11" fillId="21" borderId="8" xfId="8" applyFont="1" applyFill="1" applyBorder="1" applyAlignment="1" applyProtection="1">
      <alignment horizontal="center" vertical="center" wrapText="1"/>
      <protection locked="0"/>
    </xf>
    <xf numFmtId="0" fontId="11" fillId="21" borderId="22" xfId="8" applyFont="1" applyFill="1" applyBorder="1" applyAlignment="1" applyProtection="1">
      <alignment horizontal="center" vertical="center" wrapText="1"/>
      <protection locked="0"/>
    </xf>
    <xf numFmtId="0" fontId="11" fillId="19" borderId="15" xfId="8" applyFont="1" applyFill="1" applyBorder="1" applyAlignment="1" applyProtection="1">
      <alignment horizontal="center" vertical="center" wrapText="1"/>
      <protection locked="0"/>
    </xf>
    <xf numFmtId="0" fontId="11" fillId="12" borderId="15" xfId="8" applyFont="1" applyFill="1" applyBorder="1" applyAlignment="1" applyProtection="1">
      <alignment horizontal="center" vertical="center" wrapText="1"/>
      <protection locked="0"/>
    </xf>
    <xf numFmtId="0" fontId="11" fillId="12" borderId="16" xfId="8" applyFont="1" applyFill="1" applyBorder="1" applyAlignment="1" applyProtection="1">
      <alignment horizontal="center" vertical="center" wrapText="1"/>
      <protection locked="0"/>
    </xf>
    <xf numFmtId="0" fontId="11" fillId="12" borderId="17" xfId="8" applyFont="1" applyFill="1" applyBorder="1" applyAlignment="1" applyProtection="1">
      <alignment horizontal="center" vertical="center" wrapText="1"/>
      <protection locked="0"/>
    </xf>
    <xf numFmtId="0" fontId="22" fillId="11" borderId="17" xfId="8" applyFont="1" applyFill="1" applyBorder="1" applyAlignment="1" applyProtection="1">
      <alignment horizontal="center" vertical="center" wrapText="1"/>
      <protection locked="0"/>
    </xf>
    <xf numFmtId="0" fontId="17" fillId="11" borderId="17" xfId="8" applyFont="1" applyFill="1" applyBorder="1" applyAlignment="1" applyProtection="1">
      <alignment horizontal="center" vertical="center" wrapText="1"/>
      <protection locked="0"/>
    </xf>
    <xf numFmtId="0" fontId="17" fillId="12" borderId="17" xfId="8" applyFont="1" applyFill="1" applyBorder="1" applyAlignment="1" applyProtection="1">
      <alignment horizontal="center" vertical="center" wrapText="1"/>
      <protection locked="0"/>
    </xf>
    <xf numFmtId="0" fontId="22" fillId="11" borderId="16" xfId="8" applyFont="1" applyFill="1" applyBorder="1" applyAlignment="1" applyProtection="1">
      <alignment horizontal="center" vertical="center" wrapText="1"/>
      <protection locked="0"/>
    </xf>
    <xf numFmtId="0" fontId="11" fillId="11" borderId="17" xfId="8" applyFont="1" applyFill="1" applyBorder="1" applyAlignment="1" applyProtection="1">
      <alignment horizontal="center" vertical="center" wrapText="1"/>
      <protection locked="0"/>
    </xf>
    <xf numFmtId="0" fontId="11" fillId="11" borderId="16" xfId="8" applyFont="1" applyFill="1" applyBorder="1" applyAlignment="1" applyProtection="1">
      <alignment horizontal="center" vertical="center" wrapText="1"/>
      <protection locked="0"/>
    </xf>
    <xf numFmtId="0" fontId="17" fillId="11" borderId="16" xfId="8" applyFont="1" applyFill="1" applyBorder="1" applyAlignment="1" applyProtection="1">
      <alignment horizontal="center" vertical="center" wrapText="1"/>
      <protection locked="0"/>
    </xf>
    <xf numFmtId="0" fontId="17" fillId="14" borderId="17" xfId="8" applyFont="1" applyFill="1" applyBorder="1" applyAlignment="1">
      <alignment horizontal="center" vertical="center" wrapText="1"/>
    </xf>
    <xf numFmtId="0" fontId="22" fillId="19" borderId="17" xfId="8" applyFont="1" applyFill="1" applyBorder="1" applyAlignment="1" applyProtection="1">
      <alignment horizontal="center" vertical="center" wrapText="1"/>
      <protection locked="0"/>
    </xf>
    <xf numFmtId="0" fontId="11" fillId="13" borderId="16" xfId="8" applyFont="1" applyFill="1" applyBorder="1" applyAlignment="1" applyProtection="1">
      <alignment horizontal="center" vertical="center" wrapText="1"/>
      <protection locked="0"/>
    </xf>
    <xf numFmtId="0" fontId="11" fillId="22" borderId="16" xfId="8" applyFont="1" applyFill="1" applyBorder="1" applyAlignment="1" applyProtection="1">
      <alignment horizontal="center" vertical="center" wrapText="1"/>
      <protection locked="0"/>
    </xf>
    <xf numFmtId="0" fontId="11" fillId="21" borderId="16" xfId="8" applyFont="1" applyFill="1" applyBorder="1" applyAlignment="1" applyProtection="1">
      <alignment horizontal="center" vertical="center" wrapText="1"/>
      <protection locked="0"/>
    </xf>
    <xf numFmtId="0" fontId="0" fillId="0" borderId="24" xfId="0" applyBorder="1" applyProtection="1">
      <alignment vertical="center"/>
      <protection locked="0"/>
    </xf>
    <xf numFmtId="0" fontId="0" fillId="0" borderId="25" xfId="0" applyBorder="1" applyProtection="1">
      <alignment vertical="center"/>
      <protection locked="0"/>
    </xf>
    <xf numFmtId="49" fontId="23" fillId="18" borderId="26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alignment vertical="center"/>
      <protection locked="0"/>
    </xf>
    <xf numFmtId="0" fontId="0" fillId="0" borderId="27" xfId="0" applyBorder="1" applyProtection="1">
      <alignment vertical="center"/>
      <protection locked="0"/>
    </xf>
    <xf numFmtId="49" fontId="7" fillId="18" borderId="28" xfId="1" applyNumberFormat="1" applyFont="1" applyFill="1" applyBorder="1" applyAlignment="1" applyProtection="1">
      <alignment horizontal="center" vertical="center" wrapText="1"/>
      <protection locked="0"/>
    </xf>
    <xf numFmtId="0" fontId="17" fillId="19" borderId="6" xfId="8" applyFont="1" applyFill="1" applyBorder="1" applyAlignment="1" applyProtection="1">
      <alignment horizontal="center" vertical="center" wrapText="1"/>
      <protection locked="0"/>
    </xf>
    <xf numFmtId="0" fontId="17" fillId="19" borderId="26" xfId="8" applyFont="1" applyFill="1" applyBorder="1" applyAlignment="1" applyProtection="1">
      <alignment horizontal="center" vertical="center" wrapText="1"/>
      <protection locked="0"/>
    </xf>
    <xf numFmtId="0" fontId="17" fillId="22" borderId="26" xfId="8" applyFont="1" applyFill="1" applyBorder="1" applyAlignment="1" applyProtection="1">
      <alignment horizontal="center" vertical="center" wrapText="1"/>
      <protection locked="0"/>
    </xf>
    <xf numFmtId="0" fontId="11" fillId="22" borderId="26" xfId="8" applyFont="1" applyFill="1" applyBorder="1" applyAlignment="1" applyProtection="1">
      <alignment horizontal="center" vertical="center" wrapText="1"/>
      <protection locked="0"/>
    </xf>
    <xf numFmtId="0" fontId="11" fillId="22" borderId="26" xfId="0" applyFont="1" applyFill="1" applyBorder="1" applyAlignment="1">
      <alignment horizontal="center" vertical="center" wrapText="1"/>
    </xf>
    <xf numFmtId="0" fontId="22" fillId="19" borderId="26" xfId="8" applyFont="1" applyFill="1" applyBorder="1" applyAlignment="1" applyProtection="1">
      <alignment horizontal="center" vertical="center" wrapText="1"/>
      <protection locked="0"/>
    </xf>
    <xf numFmtId="0" fontId="11" fillId="20" borderId="26" xfId="0" applyFont="1" applyFill="1" applyBorder="1" applyAlignment="1">
      <alignment horizontal="center" vertical="center" wrapText="1"/>
    </xf>
    <xf numFmtId="0" fontId="17" fillId="22" borderId="17" xfId="1" applyFont="1" applyFill="1" applyBorder="1" applyAlignment="1" applyProtection="1">
      <alignment horizontal="center" vertical="center" wrapText="1"/>
      <protection locked="0"/>
    </xf>
    <xf numFmtId="0" fontId="11" fillId="21" borderId="9" xfId="8" applyFont="1" applyFill="1" applyBorder="1" applyAlignment="1" applyProtection="1">
      <alignment horizontal="center" vertical="center" wrapText="1"/>
      <protection locked="0"/>
    </xf>
    <xf numFmtId="0" fontId="22" fillId="11" borderId="26" xfId="8" applyFont="1" applyFill="1" applyBorder="1" applyAlignment="1" applyProtection="1">
      <alignment horizontal="center" vertical="center" wrapText="1"/>
      <protection locked="0"/>
    </xf>
    <xf numFmtId="0" fontId="11" fillId="19" borderId="26" xfId="8" applyFont="1" applyFill="1" applyBorder="1" applyAlignment="1" applyProtection="1">
      <alignment horizontal="center" vertical="center" wrapText="1"/>
      <protection locked="0"/>
    </xf>
    <xf numFmtId="0" fontId="11" fillId="25" borderId="17" xfId="8" applyFont="1" applyFill="1" applyBorder="1" applyAlignment="1" applyProtection="1">
      <alignment horizontal="center" vertical="center" wrapText="1"/>
      <protection locked="0"/>
    </xf>
    <xf numFmtId="0" fontId="11" fillId="13" borderId="26" xfId="8" applyFont="1" applyFill="1" applyBorder="1" applyAlignment="1" applyProtection="1">
      <alignment horizontal="center" vertical="center" wrapText="1"/>
      <protection locked="0"/>
    </xf>
    <xf numFmtId="0" fontId="17" fillId="19" borderId="17" xfId="1" applyFont="1" applyFill="1" applyBorder="1" applyAlignment="1" applyProtection="1">
      <alignment horizontal="center" vertical="center" wrapText="1"/>
      <protection locked="0"/>
    </xf>
    <xf numFmtId="0" fontId="11" fillId="21" borderId="26" xfId="8" applyFont="1" applyFill="1" applyBorder="1" applyAlignment="1" applyProtection="1">
      <alignment horizontal="center" vertical="center" wrapText="1"/>
      <protection locked="0"/>
    </xf>
    <xf numFmtId="0" fontId="11" fillId="11" borderId="5" xfId="8" applyFont="1" applyFill="1" applyBorder="1" applyAlignment="1" applyProtection="1">
      <alignment horizontal="center" vertical="center" wrapText="1"/>
      <protection locked="0"/>
    </xf>
    <xf numFmtId="0" fontId="11" fillId="11" borderId="15" xfId="8" applyFont="1" applyFill="1" applyBorder="1" applyAlignment="1" applyProtection="1">
      <alignment horizontal="center" vertical="center" wrapText="1"/>
      <protection locked="0"/>
    </xf>
    <xf numFmtId="0" fontId="22" fillId="11" borderId="15" xfId="8" applyFont="1" applyFill="1" applyBorder="1" applyAlignment="1" applyProtection="1">
      <alignment horizontal="center" vertical="center" wrapText="1"/>
      <protection locked="0"/>
    </xf>
    <xf numFmtId="0" fontId="0" fillId="0" borderId="32" xfId="0" applyBorder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11" fillId="0" borderId="0" xfId="0" applyFont="1" applyAlignment="1" applyProtection="1">
      <alignment vertical="center" wrapText="1"/>
      <protection locked="0"/>
    </xf>
    <xf numFmtId="0" fontId="11" fillId="21" borderId="15" xfId="8" applyFont="1" applyFill="1" applyBorder="1" applyAlignment="1" applyProtection="1">
      <alignment horizontal="center" vertical="center" wrapText="1"/>
      <protection locked="0"/>
    </xf>
    <xf numFmtId="0" fontId="11" fillId="21" borderId="6" xfId="8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vertical="center" wrapText="1"/>
      <protection locked="0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vertical="center" wrapText="1"/>
      <protection locked="0"/>
    </xf>
    <xf numFmtId="0" fontId="0" fillId="0" borderId="14" xfId="0" applyBorder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6" fillId="0" borderId="0" xfId="0" applyFont="1" applyBorder="1" applyProtection="1">
      <alignment vertical="center"/>
      <protection locked="0"/>
    </xf>
    <xf numFmtId="0" fontId="0" fillId="19" borderId="0" xfId="0" applyFill="1" applyBorder="1" applyAlignment="1" applyProtection="1">
      <alignment vertical="center" wrapText="1"/>
      <protection locked="0"/>
    </xf>
    <xf numFmtId="0" fontId="0" fillId="0" borderId="35" xfId="0" applyBorder="1">
      <alignment vertical="center"/>
    </xf>
    <xf numFmtId="49" fontId="23" fillId="18" borderId="17" xfId="1" applyNumberFormat="1" applyFont="1" applyFill="1" applyBorder="1" applyAlignment="1" applyProtection="1">
      <alignment horizontal="center" vertical="center" wrapText="1"/>
      <protection locked="0"/>
    </xf>
    <xf numFmtId="0" fontId="23" fillId="18" borderId="17" xfId="1" applyFont="1" applyFill="1" applyBorder="1" applyAlignment="1" applyProtection="1">
      <alignment horizontal="center" vertical="center" wrapText="1"/>
      <protection locked="0"/>
    </xf>
    <xf numFmtId="49" fontId="23" fillId="18" borderId="19" xfId="1" applyNumberFormat="1" applyFont="1" applyFill="1" applyBorder="1" applyAlignment="1" applyProtection="1">
      <alignment horizontal="center" vertical="center" wrapText="1"/>
      <protection locked="0"/>
    </xf>
    <xf numFmtId="0" fontId="18" fillId="3" borderId="36" xfId="1" applyFont="1" applyFill="1" applyBorder="1" applyAlignment="1" applyProtection="1">
      <alignment horizontal="center" vertical="center" wrapText="1"/>
      <protection locked="0"/>
    </xf>
    <xf numFmtId="0" fontId="18" fillId="12" borderId="20" xfId="8" applyFont="1" applyFill="1" applyBorder="1" applyAlignment="1" applyProtection="1">
      <alignment horizontal="center" vertical="center" wrapText="1"/>
      <protection locked="0"/>
    </xf>
    <xf numFmtId="0" fontId="18" fillId="27" borderId="20" xfId="1" applyFont="1" applyFill="1" applyBorder="1" applyAlignment="1" applyProtection="1">
      <alignment horizontal="center" vertical="center" wrapText="1"/>
      <protection locked="0"/>
    </xf>
    <xf numFmtId="0" fontId="18" fillId="28" borderId="20" xfId="1" applyFont="1" applyFill="1" applyBorder="1" applyAlignment="1">
      <alignment horizontal="center" vertical="center" wrapText="1"/>
    </xf>
    <xf numFmtId="0" fontId="17" fillId="12" borderId="15" xfId="8" applyFont="1" applyFill="1" applyBorder="1" applyAlignment="1" applyProtection="1">
      <alignment horizontal="center" vertical="center" wrapText="1"/>
      <protection locked="0"/>
    </xf>
    <xf numFmtId="0" fontId="17" fillId="21" borderId="16" xfId="8" applyFont="1" applyFill="1" applyBorder="1" applyAlignment="1" applyProtection="1">
      <alignment horizontal="center" vertical="center" wrapText="1"/>
      <protection locked="0"/>
    </xf>
    <xf numFmtId="0" fontId="26" fillId="0" borderId="17" xfId="12" applyFont="1" applyBorder="1" applyAlignment="1" applyProtection="1">
      <protection locked="0"/>
    </xf>
    <xf numFmtId="0" fontId="17" fillId="19" borderId="8" xfId="8" applyFont="1" applyFill="1" applyBorder="1" applyAlignment="1" applyProtection="1">
      <alignment horizontal="center" vertical="center" wrapText="1"/>
      <protection locked="0"/>
    </xf>
    <xf numFmtId="0" fontId="27" fillId="0" borderId="22" xfId="0" applyFont="1" applyBorder="1" applyProtection="1">
      <alignment vertical="center"/>
      <protection locked="0"/>
    </xf>
    <xf numFmtId="0" fontId="17" fillId="21" borderId="22" xfId="8" applyFont="1" applyFill="1" applyBorder="1" applyAlignment="1" applyProtection="1">
      <alignment horizontal="center" vertical="center" wrapText="1"/>
      <protection locked="0"/>
    </xf>
    <xf numFmtId="0" fontId="17" fillId="19" borderId="22" xfId="8" applyFont="1" applyFill="1" applyBorder="1" applyAlignment="1" applyProtection="1">
      <alignment horizontal="center" vertical="center" wrapText="1"/>
      <protection locked="0"/>
    </xf>
    <xf numFmtId="0" fontId="11" fillId="19" borderId="22" xfId="8" applyFont="1" applyFill="1" applyBorder="1" applyAlignment="1" applyProtection="1">
      <alignment horizontal="center" vertical="center" wrapText="1"/>
      <protection locked="0"/>
    </xf>
    <xf numFmtId="0" fontId="18" fillId="8" borderId="1" xfId="1" applyFont="1" applyFill="1" applyBorder="1" applyAlignment="1" applyProtection="1">
      <alignment horizontal="center" vertical="center" wrapText="1"/>
      <protection locked="0"/>
    </xf>
    <xf numFmtId="0" fontId="18" fillId="3" borderId="1" xfId="1" applyFont="1" applyFill="1" applyBorder="1" applyAlignment="1" applyProtection="1">
      <alignment horizontal="center" vertical="center" wrapText="1"/>
      <protection locked="0"/>
    </xf>
    <xf numFmtId="0" fontId="18" fillId="14" borderId="1" xfId="1" applyFont="1" applyFill="1" applyBorder="1" applyAlignment="1" applyProtection="1">
      <alignment horizontal="center" vertical="center" wrapText="1"/>
      <protection locked="0"/>
    </xf>
    <xf numFmtId="0" fontId="18" fillId="28" borderId="1" xfId="1" applyFont="1" applyFill="1" applyBorder="1" applyAlignment="1">
      <alignment horizontal="center" vertical="center" wrapText="1"/>
    </xf>
    <xf numFmtId="0" fontId="27" fillId="0" borderId="15" xfId="0" applyFont="1" applyBorder="1" applyProtection="1">
      <alignment vertical="center"/>
      <protection locked="0"/>
    </xf>
    <xf numFmtId="0" fontId="17" fillId="21" borderId="17" xfId="8" applyFont="1" applyFill="1" applyBorder="1" applyAlignment="1" applyProtection="1">
      <alignment horizontal="center" vertical="center" wrapText="1"/>
      <protection locked="0"/>
    </xf>
    <xf numFmtId="0" fontId="27" fillId="0" borderId="17" xfId="0" applyFont="1" applyBorder="1" applyProtection="1">
      <alignment vertical="center"/>
      <protection locked="0"/>
    </xf>
    <xf numFmtId="0" fontId="0" fillId="0" borderId="17" xfId="0" applyBorder="1">
      <alignment vertical="center"/>
    </xf>
    <xf numFmtId="0" fontId="0" fillId="0" borderId="17" xfId="0" applyBorder="1" applyProtection="1">
      <alignment vertical="center"/>
      <protection locked="0"/>
    </xf>
    <xf numFmtId="0" fontId="0" fillId="0" borderId="22" xfId="0" applyBorder="1" applyProtection="1">
      <alignment vertical="center"/>
      <protection locked="0"/>
    </xf>
    <xf numFmtId="0" fontId="18" fillId="12" borderId="1" xfId="8" applyFont="1" applyFill="1" applyBorder="1" applyAlignment="1" applyProtection="1">
      <alignment horizontal="center" vertical="center" wrapText="1"/>
      <protection locked="0"/>
    </xf>
    <xf numFmtId="0" fontId="18" fillId="28" borderId="1" xfId="1" applyFont="1" applyFill="1" applyBorder="1" applyAlignment="1" applyProtection="1">
      <alignment horizontal="center" vertical="center" wrapText="1"/>
      <protection locked="0"/>
    </xf>
    <xf numFmtId="0" fontId="17" fillId="19" borderId="17" xfId="8" applyFont="1" applyFill="1" applyBorder="1" applyAlignment="1">
      <alignment horizontal="center" vertical="center" wrapText="1"/>
    </xf>
    <xf numFmtId="0" fontId="17" fillId="21" borderId="8" xfId="8" applyFont="1" applyFill="1" applyBorder="1" applyAlignment="1" applyProtection="1">
      <alignment horizontal="center" vertical="center" wrapText="1"/>
      <protection locked="0"/>
    </xf>
    <xf numFmtId="0" fontId="0" fillId="0" borderId="22" xfId="0" applyBorder="1">
      <alignment vertical="center"/>
    </xf>
    <xf numFmtId="0" fontId="11" fillId="12" borderId="22" xfId="8" applyFont="1" applyFill="1" applyBorder="1" applyAlignment="1" applyProtection="1">
      <alignment horizontal="center" vertical="center" wrapText="1"/>
      <protection locked="0"/>
    </xf>
    <xf numFmtId="0" fontId="28" fillId="29" borderId="1" xfId="0" applyFont="1" applyFill="1" applyBorder="1" applyAlignment="1" applyProtection="1">
      <alignment horizontal="center" vertical="center" wrapText="1"/>
      <protection locked="0"/>
    </xf>
    <xf numFmtId="0" fontId="0" fillId="0" borderId="8" xfId="0" applyBorder="1">
      <alignment vertical="center"/>
    </xf>
    <xf numFmtId="0" fontId="11" fillId="22" borderId="22" xfId="0" applyFont="1" applyFill="1" applyBorder="1" applyAlignment="1">
      <alignment horizontal="center" vertical="center" wrapText="1"/>
    </xf>
    <xf numFmtId="0" fontId="18" fillId="8" borderId="1" xfId="3" applyFont="1" applyFill="1" applyBorder="1" applyAlignment="1" applyProtection="1">
      <alignment horizontal="center" vertical="center" wrapText="1"/>
      <protection locked="0"/>
    </xf>
    <xf numFmtId="0" fontId="17" fillId="0" borderId="5" xfId="7" applyFont="1" applyFill="1" applyBorder="1" applyAlignment="1" applyProtection="1">
      <alignment vertical="center" wrapText="1"/>
      <protection locked="0"/>
    </xf>
    <xf numFmtId="0" fontId="0" fillId="0" borderId="16" xfId="0" applyBorder="1">
      <alignment vertical="center"/>
    </xf>
    <xf numFmtId="0" fontId="18" fillId="30" borderId="1" xfId="1" applyFont="1" applyFill="1" applyBorder="1" applyAlignment="1" applyProtection="1">
      <alignment horizontal="center" vertical="center" wrapText="1"/>
      <protection locked="0"/>
    </xf>
    <xf numFmtId="0" fontId="11" fillId="22" borderId="16" xfId="0" applyFont="1" applyFill="1" applyBorder="1" applyAlignment="1">
      <alignment horizontal="center" vertical="center" wrapText="1"/>
    </xf>
    <xf numFmtId="0" fontId="11" fillId="19" borderId="8" xfId="8" applyFont="1" applyFill="1" applyBorder="1" applyAlignment="1" applyProtection="1">
      <alignment horizontal="center" vertical="center" wrapText="1"/>
      <protection locked="0"/>
    </xf>
    <xf numFmtId="0" fontId="11" fillId="20" borderId="22" xfId="0" applyFont="1" applyFill="1" applyBorder="1" applyAlignment="1">
      <alignment horizontal="center" vertical="center" wrapText="1"/>
    </xf>
    <xf numFmtId="0" fontId="11" fillId="19" borderId="5" xfId="8" applyFont="1" applyFill="1" applyBorder="1" applyAlignment="1" applyProtection="1">
      <alignment horizontal="center" vertical="center" wrapText="1"/>
      <protection locked="0"/>
    </xf>
    <xf numFmtId="49" fontId="23" fillId="18" borderId="28" xfId="1" applyNumberFormat="1" applyFont="1" applyFill="1" applyBorder="1" applyAlignment="1" applyProtection="1">
      <alignment horizontal="center" vertical="center" wrapText="1"/>
      <protection locked="0"/>
    </xf>
    <xf numFmtId="0" fontId="18" fillId="12" borderId="29" xfId="8" applyFont="1" applyFill="1" applyBorder="1" applyAlignment="1" applyProtection="1">
      <alignment horizontal="center" vertical="center" wrapText="1"/>
      <protection locked="0"/>
    </xf>
    <xf numFmtId="0" fontId="11" fillId="12" borderId="6" xfId="8" applyFont="1" applyFill="1" applyBorder="1" applyAlignment="1" applyProtection="1">
      <alignment horizontal="center" vertical="center" wrapText="1"/>
      <protection locked="0"/>
    </xf>
    <xf numFmtId="0" fontId="17" fillId="12" borderId="26" xfId="8" applyFont="1" applyFill="1" applyBorder="1" applyAlignment="1" applyProtection="1">
      <alignment horizontal="center" vertical="center" wrapText="1"/>
      <protection locked="0"/>
    </xf>
    <xf numFmtId="0" fontId="11" fillId="12" borderId="26" xfId="8" applyFont="1" applyFill="1" applyBorder="1" applyAlignment="1" applyProtection="1">
      <alignment horizontal="center" vertical="center" wrapText="1"/>
      <protection locked="0"/>
    </xf>
    <xf numFmtId="0" fontId="0" fillId="0" borderId="26" xfId="0" applyBorder="1">
      <alignment vertical="center"/>
    </xf>
    <xf numFmtId="0" fontId="17" fillId="19" borderId="9" xfId="8" applyFont="1" applyFill="1" applyBorder="1" applyAlignment="1" applyProtection="1">
      <alignment horizontal="center" vertical="center" wrapText="1"/>
      <protection locked="0"/>
    </xf>
    <xf numFmtId="0" fontId="18" fillId="12" borderId="30" xfId="8" applyFont="1" applyFill="1" applyBorder="1" applyAlignment="1" applyProtection="1">
      <alignment horizontal="center" vertical="center" wrapText="1"/>
      <protection locked="0"/>
    </xf>
    <xf numFmtId="0" fontId="0" fillId="0" borderId="26" xfId="0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11" fillId="12" borderId="9" xfId="8" applyFont="1" applyFill="1" applyBorder="1" applyAlignment="1" applyProtection="1">
      <alignment horizontal="center" vertical="center" wrapText="1"/>
      <protection locked="0"/>
    </xf>
    <xf numFmtId="0" fontId="0" fillId="0" borderId="9" xfId="0" applyBorder="1">
      <alignment vertical="center"/>
    </xf>
    <xf numFmtId="0" fontId="18" fillId="26" borderId="1" xfId="8" applyFont="1" applyFill="1" applyBorder="1" applyAlignment="1" applyProtection="1">
      <alignment horizontal="center" vertical="center" wrapText="1"/>
      <protection locked="0"/>
    </xf>
    <xf numFmtId="0" fontId="18" fillId="26" borderId="30" xfId="8" applyFont="1" applyFill="1" applyBorder="1" applyAlignment="1" applyProtection="1">
      <alignment horizontal="center" vertical="center" wrapText="1"/>
      <protection locked="0"/>
    </xf>
    <xf numFmtId="0" fontId="11" fillId="11" borderId="6" xfId="8" applyFont="1" applyFill="1" applyBorder="1" applyAlignment="1" applyProtection="1">
      <alignment horizontal="center" vertical="center" wrapText="1"/>
      <protection locked="0"/>
    </xf>
    <xf numFmtId="0" fontId="11" fillId="11" borderId="26" xfId="8" applyFont="1" applyFill="1" applyBorder="1" applyAlignment="1" applyProtection="1">
      <alignment horizontal="center" vertical="center" wrapText="1"/>
      <protection locked="0"/>
    </xf>
    <xf numFmtId="0" fontId="17" fillId="11" borderId="26" xfId="8" applyFont="1" applyFill="1" applyBorder="1" applyAlignment="1" applyProtection="1">
      <alignment horizontal="center" vertical="center" wrapText="1"/>
      <protection locked="0"/>
    </xf>
    <xf numFmtId="0" fontId="11" fillId="19" borderId="9" xfId="8" applyFont="1" applyFill="1" applyBorder="1" applyAlignment="1" applyProtection="1">
      <alignment horizontal="center" vertical="center" wrapText="1"/>
      <protection locked="0"/>
    </xf>
    <xf numFmtId="0" fontId="18" fillId="3" borderId="3" xfId="1" applyFont="1" applyFill="1" applyBorder="1" applyAlignment="1" applyProtection="1">
      <alignment horizontal="center" vertical="center" wrapText="1"/>
      <protection locked="0"/>
    </xf>
    <xf numFmtId="0" fontId="0" fillId="0" borderId="16" xfId="0" applyBorder="1" applyProtection="1">
      <alignment vertical="center"/>
      <protection locked="0"/>
    </xf>
    <xf numFmtId="0" fontId="0" fillId="22" borderId="17" xfId="0" applyFill="1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0" fontId="17" fillId="11" borderId="5" xfId="8" applyFont="1" applyFill="1" applyBorder="1" applyAlignment="1" applyProtection="1">
      <alignment horizontal="center" vertical="center" wrapText="1"/>
      <protection locked="0"/>
    </xf>
    <xf numFmtId="0" fontId="17" fillId="7" borderId="15" xfId="7" applyFont="1" applyFill="1" applyBorder="1" applyAlignment="1" applyProtection="1">
      <alignment horizontal="center" vertical="center" wrapText="1"/>
      <protection locked="0"/>
    </xf>
    <xf numFmtId="0" fontId="17" fillId="7" borderId="17" xfId="7" applyFont="1" applyFill="1" applyBorder="1" applyAlignment="1" applyProtection="1">
      <alignment horizontal="center" vertical="center" wrapText="1"/>
      <protection locked="0"/>
    </xf>
    <xf numFmtId="0" fontId="0" fillId="22" borderId="17" xfId="0" applyFill="1" applyBorder="1">
      <alignment vertical="center"/>
    </xf>
    <xf numFmtId="0" fontId="17" fillId="7" borderId="16" xfId="7" applyFont="1" applyFill="1" applyBorder="1" applyAlignment="1" applyProtection="1">
      <alignment horizontal="center" vertical="center" wrapText="1"/>
      <protection locked="0"/>
    </xf>
    <xf numFmtId="0" fontId="17" fillId="7" borderId="8" xfId="7" applyFont="1" applyFill="1" applyBorder="1" applyAlignment="1" applyProtection="1">
      <alignment horizontal="center" vertical="center" wrapText="1"/>
      <protection locked="0"/>
    </xf>
    <xf numFmtId="0" fontId="17" fillId="7" borderId="22" xfId="7" applyFont="1" applyFill="1" applyBorder="1" applyAlignment="1" applyProtection="1">
      <alignment horizontal="center" vertical="center" wrapText="1"/>
      <protection locked="0"/>
    </xf>
    <xf numFmtId="0" fontId="22" fillId="11" borderId="5" xfId="8" applyFont="1" applyFill="1" applyBorder="1" applyAlignment="1" applyProtection="1">
      <alignment horizontal="center" vertical="center" wrapText="1"/>
      <protection locked="0"/>
    </xf>
    <xf numFmtId="0" fontId="17" fillId="28" borderId="1" xfId="1" applyFont="1" applyFill="1" applyBorder="1" applyAlignment="1" applyProtection="1">
      <alignment horizontal="center" vertical="center" wrapText="1"/>
      <protection locked="0"/>
    </xf>
    <xf numFmtId="0" fontId="11" fillId="19" borderId="17" xfId="0" applyFont="1" applyFill="1" applyBorder="1" applyAlignment="1">
      <alignment horizontal="center" vertical="center" wrapText="1"/>
    </xf>
    <xf numFmtId="0" fontId="18" fillId="23" borderId="1" xfId="1" applyFont="1" applyFill="1" applyBorder="1" applyAlignment="1" applyProtection="1">
      <alignment horizontal="center" vertical="center" wrapText="1"/>
      <protection locked="0"/>
    </xf>
    <xf numFmtId="0" fontId="11" fillId="25" borderId="15" xfId="8" applyFont="1" applyFill="1" applyBorder="1" applyAlignment="1" applyProtection="1">
      <alignment horizontal="center" vertical="center" wrapText="1"/>
      <protection locked="0"/>
    </xf>
    <xf numFmtId="0" fontId="11" fillId="25" borderId="6" xfId="8" applyFont="1" applyFill="1" applyBorder="1" applyAlignment="1" applyProtection="1">
      <alignment horizontal="center" vertical="center" wrapText="1"/>
      <protection locked="0"/>
    </xf>
    <xf numFmtId="0" fontId="17" fillId="0" borderId="22" xfId="7" applyFont="1" applyFill="1" applyBorder="1" applyAlignment="1" applyProtection="1">
      <alignment vertical="center" wrapText="1"/>
      <protection locked="0"/>
    </xf>
    <xf numFmtId="0" fontId="27" fillId="0" borderId="9" xfId="0" applyFont="1" applyBorder="1" applyProtection="1">
      <alignment vertical="center"/>
      <protection locked="0"/>
    </xf>
    <xf numFmtId="0" fontId="18" fillId="32" borderId="30" xfId="8" applyFont="1" applyFill="1" applyBorder="1" applyAlignment="1" applyProtection="1">
      <alignment horizontal="center" vertical="center" wrapText="1"/>
      <protection locked="0"/>
    </xf>
    <xf numFmtId="0" fontId="11" fillId="13" borderId="6" xfId="8" applyFont="1" applyFill="1" applyBorder="1" applyAlignment="1" applyProtection="1">
      <alignment horizontal="center" vertical="center" wrapText="1"/>
      <protection locked="0"/>
    </xf>
    <xf numFmtId="0" fontId="22" fillId="11" borderId="6" xfId="8" applyFont="1" applyFill="1" applyBorder="1" applyAlignment="1" applyProtection="1">
      <alignment horizontal="center" vertical="center" wrapText="1"/>
      <protection locked="0"/>
    </xf>
    <xf numFmtId="0" fontId="11" fillId="19" borderId="17" xfId="8" applyFont="1" applyFill="1" applyBorder="1" applyAlignment="1" applyProtection="1">
      <alignment vertical="center" wrapText="1"/>
      <protection locked="0"/>
    </xf>
    <xf numFmtId="0" fontId="11" fillId="19" borderId="22" xfId="8" applyFont="1" applyFill="1" applyBorder="1" applyAlignment="1" applyProtection="1">
      <alignment vertical="center" wrapText="1"/>
      <protection locked="0"/>
    </xf>
    <xf numFmtId="0" fontId="18" fillId="32" borderId="1" xfId="1" applyFont="1" applyFill="1" applyBorder="1" applyAlignment="1" applyProtection="1">
      <alignment horizontal="center" vertical="center" wrapText="1"/>
      <protection locked="0"/>
    </xf>
    <xf numFmtId="0" fontId="11" fillId="13" borderId="5" xfId="8" applyFont="1" applyFill="1" applyBorder="1" applyAlignment="1" applyProtection="1">
      <alignment horizontal="center" vertical="center" wrapText="1"/>
      <protection locked="0"/>
    </xf>
    <xf numFmtId="0" fontId="0" fillId="0" borderId="15" xfId="0" applyBorder="1">
      <alignment vertical="center"/>
    </xf>
    <xf numFmtId="0" fontId="11" fillId="20" borderId="15" xfId="0" applyFont="1" applyFill="1" applyBorder="1" applyAlignment="1">
      <alignment horizontal="center" vertical="center" wrapText="1"/>
    </xf>
    <xf numFmtId="0" fontId="27" fillId="0" borderId="16" xfId="0" applyFont="1" applyBorder="1" applyProtection="1">
      <alignment vertical="center"/>
      <protection locked="0"/>
    </xf>
    <xf numFmtId="0" fontId="27" fillId="0" borderId="5" xfId="0" applyFont="1" applyBorder="1" applyProtection="1">
      <alignment vertical="center"/>
      <protection locked="0"/>
    </xf>
    <xf numFmtId="0" fontId="11" fillId="22" borderId="15" xfId="0" applyFont="1" applyFill="1" applyBorder="1" applyAlignment="1">
      <alignment horizontal="center" vertical="center" wrapText="1"/>
    </xf>
    <xf numFmtId="0" fontId="17" fillId="28" borderId="3" xfId="1" applyFont="1" applyFill="1" applyBorder="1" applyAlignment="1" applyProtection="1">
      <alignment horizontal="center" vertical="center" wrapText="1"/>
      <protection locked="0"/>
    </xf>
    <xf numFmtId="0" fontId="18" fillId="32" borderId="1" xfId="8" applyFont="1" applyFill="1" applyBorder="1" applyAlignment="1" applyProtection="1">
      <alignment horizontal="center" vertical="center" wrapText="1"/>
      <protection locked="0"/>
    </xf>
    <xf numFmtId="0" fontId="18" fillId="3" borderId="30" xfId="1" applyFont="1" applyFill="1" applyBorder="1" applyAlignment="1" applyProtection="1">
      <alignment horizontal="center" vertical="center" wrapText="1"/>
      <protection locked="0"/>
    </xf>
    <xf numFmtId="0" fontId="17" fillId="28" borderId="30" xfId="1" applyFont="1" applyFill="1" applyBorder="1" applyAlignment="1" applyProtection="1">
      <alignment horizontal="center" vertical="center" wrapText="1"/>
      <protection locked="0"/>
    </xf>
    <xf numFmtId="0" fontId="27" fillId="0" borderId="6" xfId="0" applyFon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0" fontId="27" fillId="0" borderId="26" xfId="0" applyFont="1" applyBorder="1" applyProtection="1">
      <alignment vertical="center"/>
      <protection locked="0"/>
    </xf>
    <xf numFmtId="49" fontId="6" fillId="18" borderId="15" xfId="1" applyNumberFormat="1" applyFont="1" applyFill="1" applyBorder="1" applyAlignment="1" applyProtection="1">
      <alignment horizontal="center" vertical="center" wrapText="1"/>
      <protection locked="0"/>
    </xf>
    <xf numFmtId="49" fontId="7" fillId="18" borderId="15" xfId="1" applyNumberFormat="1" applyFont="1" applyFill="1" applyBorder="1" applyAlignment="1" applyProtection="1">
      <alignment horizontal="center" vertical="center" wrapText="1"/>
      <protection locked="0"/>
    </xf>
    <xf numFmtId="49" fontId="6" fillId="18" borderId="19" xfId="1" applyNumberFormat="1" applyFont="1" applyFill="1" applyBorder="1" applyAlignment="1" applyProtection="1">
      <alignment horizontal="center" vertical="center" wrapText="1"/>
      <protection locked="0"/>
    </xf>
    <xf numFmtId="49" fontId="6" fillId="18" borderId="17" xfId="1" applyNumberFormat="1" applyFont="1" applyFill="1" applyBorder="1" applyAlignment="1" applyProtection="1">
      <alignment horizontal="center" vertical="center"/>
      <protection locked="0"/>
    </xf>
    <xf numFmtId="0" fontId="1" fillId="17" borderId="17" xfId="12" applyFill="1" applyBorder="1" applyAlignment="1" applyProtection="1">
      <alignment horizontal="center"/>
      <protection locked="0"/>
    </xf>
    <xf numFmtId="49" fontId="32" fillId="7" borderId="15" xfId="1" applyNumberFormat="1" applyFont="1" applyFill="1" applyBorder="1" applyAlignment="1" applyProtection="1">
      <alignment horizontal="center" vertical="center" wrapText="1"/>
      <protection locked="0"/>
    </xf>
    <xf numFmtId="49" fontId="32" fillId="7" borderId="17" xfId="1" applyNumberFormat="1" applyFont="1" applyFill="1" applyBorder="1" applyAlignment="1" applyProtection="1">
      <alignment horizontal="center" vertical="center" wrapText="1"/>
      <protection locked="0"/>
    </xf>
    <xf numFmtId="0" fontId="6" fillId="5" borderId="17" xfId="1" applyFont="1" applyFill="1" applyBorder="1" applyAlignment="1" applyProtection="1">
      <alignment horizontal="center" vertical="center" wrapText="1"/>
      <protection locked="0"/>
    </xf>
    <xf numFmtId="0" fontId="8" fillId="28" borderId="17" xfId="8" applyFont="1" applyFill="1" applyBorder="1" applyAlignment="1" applyProtection="1">
      <alignment horizontal="center" vertical="center" wrapText="1"/>
      <protection locked="0"/>
    </xf>
    <xf numFmtId="0" fontId="33" fillId="7" borderId="17" xfId="12" applyFont="1" applyFill="1" applyBorder="1" applyAlignment="1" applyProtection="1">
      <alignment horizontal="center" vertical="center" wrapText="1"/>
      <protection locked="0"/>
    </xf>
    <xf numFmtId="49" fontId="32" fillId="22" borderId="17" xfId="1" applyNumberFormat="1" applyFont="1" applyFill="1" applyBorder="1" applyAlignment="1" applyProtection="1">
      <alignment horizontal="center" vertical="center" wrapText="1"/>
      <protection locked="0"/>
    </xf>
    <xf numFmtId="0" fontId="10" fillId="5" borderId="17" xfId="1" applyFont="1" applyFill="1" applyBorder="1" applyAlignment="1" applyProtection="1">
      <alignment horizontal="center" vertical="center" wrapText="1"/>
      <protection locked="0"/>
    </xf>
    <xf numFmtId="0" fontId="10" fillId="10" borderId="17" xfId="1" applyFont="1" applyFill="1" applyBorder="1" applyAlignment="1" applyProtection="1">
      <alignment horizontal="center" vertical="center" wrapText="1"/>
      <protection locked="0"/>
    </xf>
    <xf numFmtId="49" fontId="6" fillId="26" borderId="17" xfId="1" applyNumberFormat="1" applyFont="1" applyFill="1" applyBorder="1" applyAlignment="1" applyProtection="1">
      <alignment horizontal="center" vertical="center" wrapText="1"/>
      <protection locked="0"/>
    </xf>
    <xf numFmtId="0" fontId="34" fillId="13" borderId="17" xfId="8" applyFont="1" applyFill="1" applyBorder="1" applyAlignment="1" applyProtection="1">
      <alignment horizontal="center" vertical="center" wrapText="1"/>
      <protection locked="0"/>
    </xf>
    <xf numFmtId="0" fontId="35" fillId="9" borderId="17" xfId="8" applyFont="1" applyFill="1" applyBorder="1" applyAlignment="1" applyProtection="1">
      <alignment horizontal="center" vertical="center" wrapText="1"/>
      <protection locked="0"/>
    </xf>
    <xf numFmtId="0" fontId="7" fillId="5" borderId="17" xfId="1" applyFont="1" applyFill="1" applyBorder="1" applyAlignment="1" applyProtection="1">
      <alignment horizontal="center" vertical="center" wrapText="1"/>
      <protection locked="0"/>
    </xf>
    <xf numFmtId="0" fontId="36" fillId="3" borderId="17" xfId="0" applyFont="1" applyFill="1" applyBorder="1" applyAlignment="1" applyProtection="1">
      <alignment horizontal="center" vertical="center"/>
      <protection locked="0"/>
    </xf>
    <xf numFmtId="0" fontId="21" fillId="5" borderId="17" xfId="1" applyFont="1" applyFill="1" applyBorder="1" applyAlignment="1" applyProtection="1">
      <alignment horizontal="center" vertical="center" wrapText="1"/>
      <protection locked="0"/>
    </xf>
    <xf numFmtId="0" fontId="13" fillId="17" borderId="17" xfId="1" applyFont="1" applyFill="1" applyBorder="1" applyAlignment="1" applyProtection="1">
      <alignment horizontal="center" vertical="center" wrapText="1"/>
      <protection locked="0"/>
    </xf>
    <xf numFmtId="0" fontId="11" fillId="14" borderId="17" xfId="8" applyFont="1" applyFill="1" applyBorder="1" applyAlignment="1">
      <alignment horizontal="center" vertical="center" wrapText="1"/>
    </xf>
    <xf numFmtId="0" fontId="37" fillId="7" borderId="17" xfId="8" applyFont="1" applyFill="1" applyBorder="1" applyAlignment="1" applyProtection="1">
      <alignment horizontal="center" vertical="center" wrapText="1"/>
      <protection locked="0"/>
    </xf>
    <xf numFmtId="49" fontId="31" fillId="7" borderId="0" xfId="1" applyNumberFormat="1" applyFont="1" applyFill="1" applyAlignment="1">
      <alignment horizontal="center" vertical="center"/>
    </xf>
    <xf numFmtId="0" fontId="7" fillId="18" borderId="15" xfId="1" applyFont="1" applyFill="1" applyBorder="1" applyAlignment="1" applyProtection="1">
      <alignment horizontal="center" vertical="center" wrapText="1"/>
      <protection locked="0"/>
    </xf>
    <xf numFmtId="49" fontId="7" fillId="18" borderId="6" xfId="1" applyNumberFormat="1" applyFont="1" applyFill="1" applyBorder="1" applyAlignment="1" applyProtection="1">
      <alignment horizontal="center" vertical="center" wrapText="1"/>
      <protection locked="0"/>
    </xf>
    <xf numFmtId="49" fontId="7" fillId="7" borderId="38" xfId="1" applyNumberFormat="1" applyFont="1" applyFill="1" applyBorder="1" applyAlignment="1">
      <alignment horizontal="center" vertical="center" wrapText="1"/>
    </xf>
    <xf numFmtId="49" fontId="7" fillId="18" borderId="36" xfId="1" applyNumberFormat="1" applyFont="1" applyFill="1" applyBorder="1" applyAlignment="1">
      <alignment horizontal="center" vertical="center" wrapText="1"/>
    </xf>
    <xf numFmtId="49" fontId="7" fillId="7" borderId="39" xfId="1" applyNumberFormat="1" applyFont="1" applyFill="1" applyBorder="1" applyAlignment="1">
      <alignment horizontal="center" vertical="center" wrapText="1"/>
    </xf>
    <xf numFmtId="0" fontId="33" fillId="7" borderId="15" xfId="12" applyFont="1" applyFill="1" applyBorder="1" applyAlignment="1" applyProtection="1">
      <alignment horizontal="center" vertical="center" wrapText="1"/>
      <protection locked="0"/>
    </xf>
    <xf numFmtId="0" fontId="33" fillId="7" borderId="6" xfId="12" applyFont="1" applyFill="1" applyBorder="1" applyAlignment="1" applyProtection="1">
      <alignment horizontal="center" vertical="center" wrapText="1"/>
      <protection locked="0"/>
    </xf>
    <xf numFmtId="0" fontId="10" fillId="5" borderId="26" xfId="1" applyFont="1" applyFill="1" applyBorder="1" applyAlignment="1" applyProtection="1">
      <alignment horizontal="center" vertical="center" wrapText="1"/>
      <protection locked="0"/>
    </xf>
    <xf numFmtId="49" fontId="32" fillId="19" borderId="17" xfId="1" applyNumberFormat="1" applyFont="1" applyFill="1" applyBorder="1" applyAlignment="1" applyProtection="1">
      <alignment horizontal="center" vertical="center" wrapText="1"/>
      <protection locked="0"/>
    </xf>
    <xf numFmtId="49" fontId="32" fillId="7" borderId="26" xfId="1" applyNumberFormat="1" applyFont="1" applyFill="1" applyBorder="1" applyAlignment="1" applyProtection="1">
      <alignment horizontal="center" vertical="center" wrapText="1"/>
      <protection locked="0"/>
    </xf>
    <xf numFmtId="0" fontId="8" fillId="28" borderId="26" xfId="8" applyFont="1" applyFill="1" applyBorder="1" applyAlignment="1" applyProtection="1">
      <alignment horizontal="center" vertical="center" wrapText="1"/>
      <protection locked="0"/>
    </xf>
    <xf numFmtId="0" fontId="33" fillId="7" borderId="26" xfId="12" applyFont="1" applyFill="1" applyBorder="1" applyAlignment="1" applyProtection="1">
      <alignment horizontal="center" vertical="center" wrapText="1"/>
      <protection locked="0"/>
    </xf>
    <xf numFmtId="0" fontId="10" fillId="10" borderId="26" xfId="1" applyFont="1" applyFill="1" applyBorder="1" applyAlignment="1" applyProtection="1">
      <alignment horizontal="center" vertical="center" wrapText="1"/>
      <protection locked="0"/>
    </xf>
    <xf numFmtId="0" fontId="34" fillId="13" borderId="26" xfId="8" applyFont="1" applyFill="1" applyBorder="1" applyAlignment="1" applyProtection="1">
      <alignment horizontal="center" vertical="center" wrapText="1"/>
      <protection locked="0"/>
    </xf>
    <xf numFmtId="0" fontId="35" fillId="9" borderId="26" xfId="8" applyFont="1" applyFill="1" applyBorder="1" applyAlignment="1" applyProtection="1">
      <alignment horizontal="center" vertical="center" wrapText="1"/>
      <protection locked="0"/>
    </xf>
    <xf numFmtId="0" fontId="8" fillId="12" borderId="17" xfId="8" applyFont="1" applyFill="1" applyBorder="1" applyAlignment="1" applyProtection="1">
      <alignment horizontal="center" vertical="center" wrapText="1"/>
      <protection locked="0"/>
    </xf>
    <xf numFmtId="0" fontId="8" fillId="9" borderId="17" xfId="8" applyFont="1" applyFill="1" applyBorder="1" applyAlignment="1" applyProtection="1">
      <alignment horizontal="center" vertical="center" wrapText="1"/>
      <protection locked="0"/>
    </xf>
    <xf numFmtId="0" fontId="13" fillId="10" borderId="17" xfId="1" applyFont="1" applyFill="1" applyBorder="1" applyAlignment="1" applyProtection="1">
      <alignment horizontal="center" vertical="center" wrapText="1"/>
      <protection locked="0"/>
    </xf>
    <xf numFmtId="0" fontId="13" fillId="16" borderId="17" xfId="1" applyFont="1" applyFill="1" applyBorder="1" applyAlignment="1" applyProtection="1">
      <alignment horizontal="center" vertical="center" wrapText="1"/>
      <protection locked="0"/>
    </xf>
    <xf numFmtId="0" fontId="1" fillId="0" borderId="25" xfId="12" applyBorder="1" applyAlignment="1">
      <alignment horizontal="center" vertical="center"/>
    </xf>
    <xf numFmtId="0" fontId="1" fillId="0" borderId="41" xfId="12" applyBorder="1" applyAlignment="1">
      <alignment horizontal="center" vertical="center"/>
    </xf>
    <xf numFmtId="49" fontId="12" fillId="0" borderId="17" xfId="8" applyNumberFormat="1" applyFont="1" applyFill="1" applyBorder="1" applyAlignment="1">
      <alignment horizontal="center" vertical="center" wrapText="1"/>
    </xf>
    <xf numFmtId="0" fontId="1" fillId="0" borderId="41" xfId="12" applyBorder="1" applyAlignment="1">
      <alignment horizontal="center" vertical="center" wrapText="1"/>
    </xf>
    <xf numFmtId="0" fontId="6" fillId="11" borderId="17" xfId="5" applyFont="1" applyFill="1" applyBorder="1" applyAlignment="1">
      <alignment horizontal="center" vertical="center" wrapText="1"/>
    </xf>
    <xf numFmtId="0" fontId="40" fillId="0" borderId="17" xfId="12" applyFont="1" applyFill="1" applyBorder="1" applyAlignment="1">
      <alignment horizontal="center" vertical="center" wrapText="1"/>
    </xf>
    <xf numFmtId="0" fontId="1" fillId="0" borderId="42" xfId="12" applyBorder="1" applyAlignment="1">
      <alignment horizontal="center" vertical="center"/>
    </xf>
    <xf numFmtId="0" fontId="1" fillId="26" borderId="7" xfId="12" applyFill="1" applyBorder="1" applyAlignment="1"/>
    <xf numFmtId="0" fontId="1" fillId="0" borderId="41" xfId="12" applyFill="1" applyBorder="1" applyAlignment="1">
      <alignment horizontal="center" vertical="center"/>
    </xf>
    <xf numFmtId="0" fontId="1" fillId="34" borderId="43" xfId="12" applyFill="1" applyBorder="1" applyAlignment="1"/>
    <xf numFmtId="0" fontId="11" fillId="34" borderId="32" xfId="8" applyFont="1" applyFill="1" applyBorder="1" applyAlignment="1">
      <alignment horizontal="center" vertical="center" wrapText="1"/>
    </xf>
    <xf numFmtId="0" fontId="11" fillId="34" borderId="0" xfId="8" applyFont="1" applyFill="1" applyAlignment="1">
      <alignment horizontal="center" vertical="center" wrapText="1"/>
    </xf>
    <xf numFmtId="0" fontId="1" fillId="0" borderId="0" xfId="12" applyFill="1" applyAlignment="1">
      <alignment horizontal="center" vertical="center"/>
    </xf>
    <xf numFmtId="0" fontId="1" fillId="0" borderId="0" xfId="13" applyFont="1" applyAlignment="1"/>
    <xf numFmtId="20" fontId="1" fillId="0" borderId="12" xfId="12" applyNumberFormat="1" applyBorder="1" applyAlignment="1">
      <alignment horizontal="center" vertical="center"/>
    </xf>
    <xf numFmtId="0" fontId="1" fillId="0" borderId="44" xfId="12" applyBorder="1" applyAlignment="1">
      <alignment horizontal="center" vertical="center"/>
    </xf>
    <xf numFmtId="0" fontId="1" fillId="0" borderId="12" xfId="12" applyFill="1" applyBorder="1" applyAlignment="1">
      <alignment horizontal="center" vertical="center"/>
    </xf>
    <xf numFmtId="49" fontId="6" fillId="26" borderId="17" xfId="1" applyNumberFormat="1" applyFont="1" applyFill="1" applyBorder="1" applyAlignment="1">
      <alignment horizontal="center" vertical="center" wrapText="1"/>
    </xf>
    <xf numFmtId="0" fontId="41" fillId="7" borderId="45" xfId="8" applyFont="1" applyFill="1" applyBorder="1" applyAlignment="1">
      <alignment horizontal="center" vertical="center" wrapText="1"/>
    </xf>
    <xf numFmtId="0" fontId="10" fillId="5" borderId="0" xfId="1" applyFont="1" applyFill="1" applyAlignment="1">
      <alignment horizontal="center" vertical="center" wrapText="1"/>
    </xf>
    <xf numFmtId="0" fontId="41" fillId="7" borderId="0" xfId="8" applyFont="1" applyFill="1" applyAlignment="1">
      <alignment horizontal="center" vertical="center" wrapText="1"/>
    </xf>
    <xf numFmtId="0" fontId="1" fillId="0" borderId="12" xfId="12" applyBorder="1" applyAlignment="1">
      <alignment horizontal="center" vertical="center"/>
    </xf>
    <xf numFmtId="0" fontId="1" fillId="0" borderId="45" xfId="12" applyBorder="1" applyAlignment="1">
      <alignment horizontal="center" vertical="center"/>
    </xf>
    <xf numFmtId="0" fontId="6" fillId="12" borderId="17" xfId="5" applyFont="1" applyFill="1" applyBorder="1" applyAlignment="1">
      <alignment horizontal="center" vertical="center" wrapText="1"/>
    </xf>
    <xf numFmtId="0" fontId="42" fillId="7" borderId="17" xfId="12" applyFont="1" applyFill="1" applyBorder="1" applyAlignment="1">
      <alignment horizontal="center" vertical="center" wrapText="1"/>
    </xf>
    <xf numFmtId="49" fontId="21" fillId="0" borderId="17" xfId="8" applyNumberFormat="1" applyFont="1" applyFill="1" applyBorder="1" applyAlignment="1">
      <alignment horizontal="center" vertical="center" wrapText="1"/>
    </xf>
    <xf numFmtId="0" fontId="43" fillId="0" borderId="17" xfId="12" applyFont="1" applyFill="1" applyBorder="1" applyAlignment="1">
      <alignment horizontal="center" vertical="center" wrapText="1"/>
    </xf>
    <xf numFmtId="0" fontId="6" fillId="5" borderId="17" xfId="5" applyFont="1" applyFill="1" applyBorder="1" applyAlignment="1" applyProtection="1">
      <alignment horizontal="center" vertical="center" wrapText="1"/>
      <protection locked="0"/>
    </xf>
    <xf numFmtId="49" fontId="32" fillId="19" borderId="26" xfId="1" applyNumberFormat="1" applyFont="1" applyFill="1" applyBorder="1" applyAlignment="1" applyProtection="1">
      <alignment horizontal="center" vertical="center" wrapText="1"/>
      <protection locked="0"/>
    </xf>
    <xf numFmtId="0" fontId="37" fillId="19" borderId="17" xfId="8" applyFont="1" applyFill="1" applyBorder="1" applyAlignment="1" applyProtection="1">
      <alignment horizontal="center" vertical="center" wrapText="1"/>
      <protection locked="0"/>
    </xf>
    <xf numFmtId="0" fontId="46" fillId="7" borderId="26" xfId="8" applyFont="1" applyFill="1" applyBorder="1" applyAlignment="1" applyProtection="1">
      <alignment horizontal="center" vertical="center" wrapText="1"/>
      <protection locked="0"/>
    </xf>
    <xf numFmtId="0" fontId="45" fillId="12" borderId="17" xfId="12" applyFont="1" applyFill="1" applyBorder="1" applyAlignment="1">
      <alignment horizontal="center" vertical="center"/>
    </xf>
    <xf numFmtId="0" fontId="6" fillId="17" borderId="17" xfId="5" applyFont="1" applyFill="1" applyBorder="1" applyAlignment="1">
      <alignment horizontal="center" vertical="center" wrapText="1"/>
    </xf>
    <xf numFmtId="49" fontId="6" fillId="17" borderId="17" xfId="1" applyNumberFormat="1" applyFont="1" applyFill="1" applyBorder="1" applyAlignment="1">
      <alignment horizontal="center" vertical="center" wrapText="1"/>
    </xf>
    <xf numFmtId="0" fontId="17" fillId="11" borderId="17" xfId="8" applyFont="1" applyFill="1" applyBorder="1" applyAlignment="1">
      <alignment horizontal="center" vertical="center" wrapText="1"/>
    </xf>
    <xf numFmtId="49" fontId="6" fillId="18" borderId="17" xfId="1" applyNumberFormat="1" applyFont="1" applyFill="1" applyBorder="1" applyAlignment="1" applyProtection="1">
      <alignment horizontal="center" vertical="center" wrapText="1"/>
      <protection locked="0"/>
    </xf>
    <xf numFmtId="0" fontId="13" fillId="5" borderId="17" xfId="1" applyFont="1" applyFill="1" applyBorder="1" applyAlignment="1" applyProtection="1">
      <alignment horizontal="center" vertical="center" wrapText="1"/>
      <protection locked="0"/>
    </xf>
    <xf numFmtId="0" fontId="13" fillId="17" borderId="26" xfId="1" applyFont="1" applyFill="1" applyBorder="1" applyAlignment="1" applyProtection="1">
      <alignment horizontal="center" vertical="center" wrapText="1"/>
      <protection locked="0"/>
    </xf>
    <xf numFmtId="0" fontId="46" fillId="7" borderId="17" xfId="8" applyFont="1" applyFill="1" applyBorder="1" applyAlignment="1" applyProtection="1">
      <alignment horizontal="center" vertical="center" wrapText="1"/>
      <protection locked="0"/>
    </xf>
    <xf numFmtId="0" fontId="17" fillId="19" borderId="26" xfId="8" applyFont="1" applyFill="1" applyBorder="1" applyAlignment="1">
      <alignment horizontal="center" vertical="center" wrapText="1"/>
    </xf>
    <xf numFmtId="0" fontId="48" fillId="17" borderId="17" xfId="5" applyFont="1" applyFill="1" applyBorder="1" applyAlignment="1">
      <alignment horizontal="center" vertical="center" wrapText="1"/>
    </xf>
    <xf numFmtId="0" fontId="45" fillId="17" borderId="17" xfId="5" applyFont="1" applyFill="1" applyBorder="1" applyAlignment="1">
      <alignment horizontal="center" vertical="center" wrapText="1"/>
    </xf>
    <xf numFmtId="0" fontId="6" fillId="17" borderId="17" xfId="1" applyFont="1" applyFill="1" applyBorder="1" applyAlignment="1">
      <alignment horizontal="center" vertical="center" wrapText="1"/>
    </xf>
    <xf numFmtId="0" fontId="6" fillId="8" borderId="17" xfId="5" applyFont="1" applyFill="1" applyBorder="1" applyAlignment="1">
      <alignment horizontal="center" vertical="center" wrapText="1"/>
    </xf>
    <xf numFmtId="0" fontId="50" fillId="5" borderId="17" xfId="0" applyFont="1" applyFill="1" applyBorder="1" applyAlignment="1" applyProtection="1">
      <alignment horizontal="center" vertical="center"/>
      <protection locked="0"/>
    </xf>
    <xf numFmtId="0" fontId="1" fillId="17" borderId="17" xfId="12" applyFill="1" applyBorder="1" applyAlignment="1" applyProtection="1">
      <protection locked="0"/>
    </xf>
    <xf numFmtId="0" fontId="22" fillId="11" borderId="22" xfId="8" applyFont="1" applyFill="1" applyBorder="1" applyAlignment="1" applyProtection="1">
      <alignment horizontal="center" vertical="center" wrapText="1"/>
      <protection locked="0"/>
    </xf>
    <xf numFmtId="0" fontId="17" fillId="14" borderId="26" xfId="8" applyFont="1" applyFill="1" applyBorder="1" applyAlignment="1">
      <alignment horizontal="center" vertical="center" wrapText="1"/>
    </xf>
    <xf numFmtId="0" fontId="17" fillId="19" borderId="26" xfId="1" applyFont="1" applyFill="1" applyBorder="1" applyAlignment="1" applyProtection="1">
      <alignment horizontal="center" vertical="center" wrapText="1"/>
      <protection locked="0"/>
    </xf>
    <xf numFmtId="49" fontId="52" fillId="7" borderId="17" xfId="1" applyNumberFormat="1" applyFont="1" applyFill="1" applyBorder="1" applyAlignment="1" applyProtection="1">
      <alignment horizontal="center" vertical="center" wrapText="1"/>
      <protection locked="0"/>
    </xf>
    <xf numFmtId="0" fontId="33" fillId="19" borderId="26" xfId="12" applyFont="1" applyFill="1" applyBorder="1" applyAlignment="1" applyProtection="1">
      <alignment horizontal="center" vertical="center" wrapText="1"/>
      <protection locked="0"/>
    </xf>
    <xf numFmtId="0" fontId="53" fillId="10" borderId="17" xfId="1" applyFont="1" applyFill="1" applyBorder="1" applyAlignment="1" applyProtection="1">
      <alignment horizontal="center" vertical="center" wrapText="1"/>
      <protection locked="0"/>
    </xf>
    <xf numFmtId="0" fontId="11" fillId="11" borderId="17" xfId="8" applyFont="1" applyFill="1" applyBorder="1" applyAlignment="1">
      <alignment horizontal="center" vertical="center" wrapText="1"/>
    </xf>
    <xf numFmtId="0" fontId="25" fillId="19" borderId="17" xfId="8" applyFont="1" applyFill="1" applyBorder="1" applyAlignment="1" applyProtection="1">
      <alignment horizontal="center" vertical="center" wrapText="1"/>
      <protection locked="0"/>
    </xf>
    <xf numFmtId="0" fontId="11" fillId="11" borderId="22" xfId="8" applyFont="1" applyFill="1" applyBorder="1" applyAlignment="1" applyProtection="1">
      <alignment horizontal="center" vertical="center" wrapText="1"/>
      <protection locked="0"/>
    </xf>
    <xf numFmtId="0" fontId="51" fillId="7" borderId="0" xfId="8" applyFont="1" applyFill="1" applyAlignment="1">
      <alignment horizontal="center" vertical="center" wrapText="1"/>
    </xf>
    <xf numFmtId="49" fontId="32" fillId="7" borderId="6" xfId="1" applyNumberFormat="1" applyFont="1" applyFill="1" applyBorder="1" applyAlignment="1" applyProtection="1">
      <alignment horizontal="center" vertical="center" wrapText="1"/>
      <protection locked="0"/>
    </xf>
    <xf numFmtId="49" fontId="32" fillId="7" borderId="0" xfId="1" applyNumberFormat="1" applyFont="1" applyFill="1" applyAlignment="1">
      <alignment horizontal="center" vertical="center" wrapText="1"/>
    </xf>
    <xf numFmtId="0" fontId="11" fillId="7" borderId="0" xfId="8" applyFont="1" applyFill="1" applyAlignment="1">
      <alignment horizontal="center" vertical="center" wrapText="1"/>
    </xf>
    <xf numFmtId="0" fontId="0" fillId="19" borderId="0" xfId="0" applyFill="1" applyBorder="1">
      <alignment vertical="center"/>
    </xf>
    <xf numFmtId="0" fontId="45" fillId="8" borderId="17" xfId="1" applyFont="1" applyFill="1" applyBorder="1" applyAlignment="1">
      <alignment horizontal="center" vertical="center" wrapText="1"/>
    </xf>
    <xf numFmtId="0" fontId="6" fillId="7" borderId="0" xfId="5" applyFont="1" applyFill="1" applyAlignment="1">
      <alignment horizontal="center" vertical="center" wrapText="1"/>
    </xf>
    <xf numFmtId="0" fontId="35" fillId="9" borderId="22" xfId="8" applyFont="1" applyFill="1" applyBorder="1" applyAlignment="1" applyProtection="1">
      <alignment horizontal="center" vertical="center" wrapText="1"/>
      <protection locked="0"/>
    </xf>
    <xf numFmtId="0" fontId="10" fillId="5" borderId="22" xfId="1" applyFont="1" applyFill="1" applyBorder="1" applyAlignment="1" applyProtection="1">
      <alignment horizontal="center" vertical="center" wrapText="1"/>
      <protection locked="0"/>
    </xf>
    <xf numFmtId="0" fontId="1" fillId="0" borderId="32" xfId="12" applyBorder="1" applyAlignment="1" applyProtection="1">
      <protection locked="0"/>
    </xf>
    <xf numFmtId="0" fontId="54" fillId="0" borderId="0" xfId="0" applyFont="1" applyProtection="1">
      <alignment vertical="center"/>
      <protection locked="0"/>
    </xf>
    <xf numFmtId="0" fontId="39" fillId="6" borderId="17" xfId="0" applyFont="1" applyFill="1" applyBorder="1" applyAlignment="1" applyProtection="1">
      <alignment horizontal="center" vertical="center"/>
      <protection locked="0"/>
    </xf>
    <xf numFmtId="0" fontId="0" fillId="0" borderId="40" xfId="0" applyBorder="1" applyProtection="1">
      <alignment vertical="center"/>
      <protection locked="0"/>
    </xf>
    <xf numFmtId="0" fontId="39" fillId="17" borderId="5" xfId="0" applyFont="1" applyFill="1" applyBorder="1" applyAlignment="1" applyProtection="1">
      <alignment horizontal="center" vertical="center"/>
      <protection locked="0"/>
    </xf>
    <xf numFmtId="0" fontId="39" fillId="17" borderId="15" xfId="0" applyFont="1" applyFill="1" applyBorder="1" applyAlignment="1" applyProtection="1">
      <alignment horizontal="center" vertical="center"/>
      <protection locked="0"/>
    </xf>
    <xf numFmtId="0" fontId="11" fillId="21" borderId="18" xfId="8" applyFont="1" applyFill="1" applyBorder="1" applyAlignment="1" applyProtection="1">
      <alignment horizontal="center" vertical="center" wrapText="1"/>
      <protection locked="0"/>
    </xf>
    <xf numFmtId="0" fontId="39" fillId="17" borderId="19" xfId="0" applyFont="1" applyFill="1" applyBorder="1" applyAlignment="1" applyProtection="1">
      <alignment horizontal="center" vertical="center"/>
      <protection locked="0"/>
    </xf>
    <xf numFmtId="0" fontId="11" fillId="21" borderId="19" xfId="8" applyFont="1" applyFill="1" applyBorder="1" applyAlignment="1" applyProtection="1">
      <alignment horizontal="center" vertical="center" wrapText="1"/>
      <protection locked="0"/>
    </xf>
    <xf numFmtId="0" fontId="39" fillId="8" borderId="17" xfId="0" applyFont="1" applyFill="1" applyBorder="1" applyAlignment="1" applyProtection="1">
      <alignment horizontal="center" vertical="center"/>
      <protection locked="0"/>
    </xf>
    <xf numFmtId="0" fontId="39" fillId="17" borderId="16" xfId="0" applyFont="1" applyFill="1" applyBorder="1" applyAlignment="1" applyProtection="1">
      <alignment horizontal="center" vertical="center"/>
      <protection locked="0"/>
    </xf>
    <xf numFmtId="0" fontId="39" fillId="17" borderId="17" xfId="0" applyFont="1" applyFill="1" applyBorder="1" applyAlignment="1" applyProtection="1">
      <alignment horizontal="center" vertical="center"/>
      <protection locked="0"/>
    </xf>
    <xf numFmtId="0" fontId="39" fillId="8" borderId="19" xfId="0" applyFont="1" applyFill="1" applyBorder="1" applyAlignment="1" applyProtection="1">
      <alignment horizontal="center" vertical="center"/>
      <protection locked="0"/>
    </xf>
    <xf numFmtId="0" fontId="0" fillId="0" borderId="19" xfId="0" applyBorder="1" applyProtection="1">
      <alignment vertical="center"/>
      <protection locked="0"/>
    </xf>
    <xf numFmtId="0" fontId="0" fillId="0" borderId="46" xfId="0" applyBorder="1" applyProtection="1">
      <alignment vertical="center"/>
      <protection locked="0"/>
    </xf>
    <xf numFmtId="0" fontId="39" fillId="17" borderId="18" xfId="0" applyFont="1" applyFill="1" applyBorder="1" applyAlignment="1" applyProtection="1">
      <alignment horizontal="center" vertical="center"/>
      <protection locked="0"/>
    </xf>
    <xf numFmtId="0" fontId="11" fillId="22" borderId="5" xfId="0" applyFont="1" applyFill="1" applyBorder="1" applyAlignment="1">
      <alignment horizontal="center" vertical="center" wrapText="1"/>
    </xf>
    <xf numFmtId="0" fontId="11" fillId="22" borderId="15" xfId="8" applyFont="1" applyFill="1" applyBorder="1" applyAlignment="1" applyProtection="1">
      <alignment horizontal="center" vertical="center" wrapText="1"/>
      <protection locked="0"/>
    </xf>
    <xf numFmtId="0" fontId="13" fillId="10" borderId="16" xfId="1" applyFont="1" applyFill="1" applyBorder="1" applyAlignment="1" applyProtection="1">
      <alignment horizontal="center" vertical="center" wrapText="1"/>
      <protection locked="0"/>
    </xf>
    <xf numFmtId="0" fontId="11" fillId="22" borderId="8" xfId="0" applyFont="1" applyFill="1" applyBorder="1" applyAlignment="1">
      <alignment horizontal="center" vertical="center" wrapText="1"/>
    </xf>
    <xf numFmtId="0" fontId="33" fillId="7" borderId="0" xfId="12" applyFont="1" applyFill="1" applyAlignment="1">
      <alignment horizontal="center" vertical="center" wrapText="1"/>
    </xf>
    <xf numFmtId="0" fontId="10" fillId="7" borderId="0" xfId="1" applyFont="1" applyFill="1" applyAlignment="1">
      <alignment horizontal="center" vertical="center" wrapText="1"/>
    </xf>
    <xf numFmtId="0" fontId="10" fillId="10" borderId="22" xfId="1" applyFont="1" applyFill="1" applyBorder="1" applyAlignment="1" applyProtection="1">
      <alignment horizontal="center" vertical="center" wrapText="1"/>
      <protection locked="0"/>
    </xf>
    <xf numFmtId="0" fontId="38" fillId="7" borderId="0" xfId="8" applyFont="1" applyFill="1" applyAlignment="1">
      <alignment horizontal="center" vertical="center" wrapText="1"/>
    </xf>
    <xf numFmtId="0" fontId="35" fillId="7" borderId="0" xfId="8" applyFont="1" applyFill="1" applyAlignment="1">
      <alignment horizontal="center" vertical="center" wrapText="1"/>
    </xf>
    <xf numFmtId="0" fontId="38" fillId="33" borderId="26" xfId="8" applyFont="1" applyFill="1" applyBorder="1" applyAlignment="1" applyProtection="1">
      <alignment horizontal="center" vertical="center" wrapText="1"/>
      <protection locked="0"/>
    </xf>
    <xf numFmtId="0" fontId="38" fillId="33" borderId="0" xfId="8" applyFont="1" applyFill="1" applyAlignment="1">
      <alignment horizontal="center" vertical="center" wrapText="1"/>
    </xf>
    <xf numFmtId="0" fontId="10" fillId="5" borderId="9" xfId="1" applyFont="1" applyFill="1" applyBorder="1" applyAlignment="1" applyProtection="1">
      <alignment horizontal="center" vertical="center" wrapText="1"/>
      <protection locked="0"/>
    </xf>
    <xf numFmtId="0" fontId="11" fillId="21" borderId="0" xfId="8" applyFont="1" applyFill="1" applyAlignment="1">
      <alignment horizontal="center" vertical="center" wrapText="1"/>
    </xf>
    <xf numFmtId="0" fontId="39" fillId="17" borderId="28" xfId="0" applyFont="1" applyFill="1" applyBorder="1" applyAlignment="1" applyProtection="1">
      <alignment horizontal="center" vertical="center"/>
      <protection locked="0"/>
    </xf>
    <xf numFmtId="0" fontId="39" fillId="7" borderId="0" xfId="0" applyFont="1" applyFill="1" applyAlignment="1">
      <alignment horizontal="center" vertical="center"/>
    </xf>
    <xf numFmtId="0" fontId="39" fillId="17" borderId="0" xfId="0" applyFont="1" applyFill="1" applyAlignment="1">
      <alignment horizontal="center" vertical="center"/>
    </xf>
    <xf numFmtId="0" fontId="35" fillId="9" borderId="15" xfId="8" applyFont="1" applyFill="1" applyBorder="1" applyAlignment="1" applyProtection="1">
      <alignment horizontal="center" vertical="center" wrapText="1"/>
      <protection locked="0"/>
    </xf>
    <xf numFmtId="0" fontId="39" fillId="17" borderId="6" xfId="0" applyFont="1" applyFill="1" applyBorder="1" applyAlignment="1" applyProtection="1">
      <alignment horizontal="center" vertical="center"/>
      <protection locked="0"/>
    </xf>
    <xf numFmtId="0" fontId="39" fillId="17" borderId="26" xfId="0" applyFont="1" applyFill="1" applyBorder="1" applyAlignment="1" applyProtection="1">
      <alignment horizontal="center" vertical="center"/>
      <protection locked="0"/>
    </xf>
    <xf numFmtId="0" fontId="35" fillId="9" borderId="19" xfId="8" applyFont="1" applyFill="1" applyBorder="1" applyAlignment="1" applyProtection="1">
      <alignment horizontal="center" vertical="center" wrapText="1"/>
      <protection locked="0"/>
    </xf>
    <xf numFmtId="0" fontId="11" fillId="22" borderId="6" xfId="0" applyFont="1" applyFill="1" applyBorder="1" applyAlignment="1">
      <alignment horizontal="center" vertical="center" wrapText="1"/>
    </xf>
    <xf numFmtId="49" fontId="32" fillId="7" borderId="49" xfId="1" applyNumberFormat="1" applyFont="1" applyFill="1" applyBorder="1" applyAlignment="1">
      <alignment horizontal="center" vertical="center" wrapText="1"/>
    </xf>
    <xf numFmtId="49" fontId="32" fillId="7" borderId="16" xfId="1" applyNumberFormat="1" applyFont="1" applyFill="1" applyBorder="1" applyAlignment="1">
      <alignment horizontal="center" vertical="center" wrapText="1"/>
    </xf>
    <xf numFmtId="0" fontId="11" fillId="7" borderId="39" xfId="8" applyFont="1" applyFill="1" applyBorder="1" applyAlignment="1">
      <alignment horizontal="center" vertical="center" wrapText="1"/>
    </xf>
    <xf numFmtId="0" fontId="8" fillId="17" borderId="8" xfId="8" applyFont="1" applyFill="1" applyBorder="1" applyAlignment="1">
      <alignment horizontal="center" vertical="center" wrapText="1"/>
    </xf>
    <xf numFmtId="49" fontId="32" fillId="7" borderId="26" xfId="1" applyNumberFormat="1" applyFont="1" applyFill="1" applyBorder="1" applyAlignment="1">
      <alignment horizontal="center" vertical="center" wrapText="1"/>
    </xf>
    <xf numFmtId="0" fontId="6" fillId="5" borderId="17" xfId="1" applyFont="1" applyFill="1" applyBorder="1" applyAlignment="1" applyProtection="1">
      <alignment horizontal="center" vertical="center" wrapText="1"/>
      <protection locked="0"/>
    </xf>
    <xf numFmtId="0" fontId="1" fillId="17" borderId="17" xfId="12" applyFill="1" applyBorder="1" applyAlignment="1" applyProtection="1">
      <alignment horizontal="center"/>
      <protection locked="0"/>
    </xf>
    <xf numFmtId="0" fontId="1" fillId="17" borderId="17" xfId="12" applyFill="1" applyBorder="1" applyAlignment="1" applyProtection="1">
      <alignment horizontal="center" wrapText="1"/>
      <protection locked="0"/>
    </xf>
    <xf numFmtId="0" fontId="1" fillId="17" borderId="40" xfId="12" applyFill="1" applyBorder="1" applyAlignment="1" applyProtection="1">
      <alignment horizontal="center"/>
      <protection locked="0"/>
    </xf>
    <xf numFmtId="0" fontId="1" fillId="17" borderId="40" xfId="12" applyFill="1" applyBorder="1" applyAlignment="1" applyProtection="1">
      <protection locked="0"/>
    </xf>
    <xf numFmtId="49" fontId="32" fillId="7" borderId="5" xfId="1" applyNumberFormat="1" applyFont="1" applyFill="1" applyBorder="1" applyAlignment="1" applyProtection="1">
      <alignment horizontal="center" vertical="center" wrapText="1"/>
      <protection locked="0"/>
    </xf>
    <xf numFmtId="49" fontId="32" fillId="7" borderId="16" xfId="1" applyNumberFormat="1" applyFont="1" applyFill="1" applyBorder="1" applyAlignment="1" applyProtection="1">
      <alignment horizontal="center" vertical="center" wrapText="1"/>
      <protection locked="0"/>
    </xf>
    <xf numFmtId="0" fontId="8" fillId="28" borderId="16" xfId="8" applyFont="1" applyFill="1" applyBorder="1" applyAlignment="1" applyProtection="1">
      <alignment horizontal="center" vertical="center" wrapText="1"/>
      <protection locked="0"/>
    </xf>
    <xf numFmtId="0" fontId="17" fillId="12" borderId="16" xfId="8" applyFont="1" applyFill="1" applyBorder="1" applyAlignment="1" applyProtection="1">
      <alignment horizontal="center" vertical="center" wrapText="1"/>
      <protection locked="0"/>
    </xf>
    <xf numFmtId="0" fontId="33" fillId="7" borderId="16" xfId="12" applyFont="1" applyFill="1" applyBorder="1" applyAlignment="1" applyProtection="1">
      <alignment horizontal="center" vertical="center" wrapText="1"/>
      <protection locked="0"/>
    </xf>
    <xf numFmtId="0" fontId="34" fillId="13" borderId="16" xfId="8" applyFont="1" applyFill="1" applyBorder="1" applyAlignment="1" applyProtection="1">
      <alignment horizontal="center" vertical="center" wrapText="1"/>
      <protection locked="0"/>
    </xf>
    <xf numFmtId="0" fontId="35" fillId="9" borderId="16" xfId="8" applyFont="1" applyFill="1" applyBorder="1" applyAlignment="1" applyProtection="1">
      <alignment horizontal="center" vertical="center" wrapText="1"/>
      <protection locked="0"/>
    </xf>
    <xf numFmtId="0" fontId="10" fillId="10" borderId="16" xfId="1" applyFont="1" applyFill="1" applyBorder="1" applyAlignment="1" applyProtection="1">
      <alignment horizontal="center" vertical="center" wrapText="1"/>
      <protection locked="0"/>
    </xf>
    <xf numFmtId="49" fontId="32" fillId="19" borderId="16" xfId="1" applyNumberFormat="1" applyFont="1" applyFill="1" applyBorder="1" applyAlignment="1" applyProtection="1">
      <alignment horizontal="center" vertical="center" wrapText="1"/>
      <protection locked="0"/>
    </xf>
    <xf numFmtId="0" fontId="19" fillId="22" borderId="16" xfId="0" applyFont="1" applyFill="1" applyBorder="1" applyAlignment="1">
      <alignment horizontal="center" vertical="center" wrapText="1"/>
    </xf>
    <xf numFmtId="0" fontId="10" fillId="5" borderId="16" xfId="1" applyFont="1" applyFill="1" applyBorder="1" applyAlignment="1" applyProtection="1">
      <alignment horizontal="center" vertical="center" wrapText="1"/>
      <protection locked="0"/>
    </xf>
    <xf numFmtId="0" fontId="22" fillId="19" borderId="16" xfId="8" applyFont="1" applyFill="1" applyBorder="1" applyAlignment="1" applyProtection="1">
      <alignment horizontal="center" vertical="center" wrapText="1"/>
      <protection locked="0"/>
    </xf>
    <xf numFmtId="0" fontId="13" fillId="16" borderId="16" xfId="1" applyFont="1" applyFill="1" applyBorder="1" applyAlignment="1" applyProtection="1">
      <alignment horizontal="center" vertical="center" wrapText="1"/>
      <protection locked="0"/>
    </xf>
    <xf numFmtId="0" fontId="13" fillId="5" borderId="16" xfId="1" applyFont="1" applyFill="1" applyBorder="1" applyAlignment="1" applyProtection="1">
      <alignment horizontal="center" vertical="center" wrapText="1"/>
      <protection locked="0"/>
    </xf>
    <xf numFmtId="0" fontId="22" fillId="11" borderId="8" xfId="8" applyFont="1" applyFill="1" applyBorder="1" applyAlignment="1" applyProtection="1">
      <alignment horizontal="center" vertical="center" wrapText="1"/>
      <protection locked="0"/>
    </xf>
    <xf numFmtId="49" fontId="6" fillId="7" borderId="0" xfId="1" applyNumberFormat="1" applyFont="1" applyFill="1" applyBorder="1" applyAlignment="1" applyProtection="1">
      <alignment horizontal="center" vertical="center"/>
      <protection locked="0"/>
    </xf>
    <xf numFmtId="49" fontId="44" fillId="7" borderId="0" xfId="1" applyNumberFormat="1" applyFont="1" applyFill="1" applyBorder="1" applyAlignment="1" applyProtection="1">
      <alignment horizontal="center" vertical="center" wrapText="1"/>
      <protection locked="0"/>
    </xf>
    <xf numFmtId="0" fontId="1" fillId="7" borderId="0" xfId="12" applyFill="1" applyBorder="1" applyAlignment="1" applyProtection="1">
      <alignment horizontal="center"/>
      <protection locked="0"/>
    </xf>
    <xf numFmtId="0" fontId="10" fillId="7" borderId="0" xfId="1" applyFont="1" applyFill="1" applyBorder="1" applyAlignment="1" applyProtection="1">
      <alignment horizontal="center" vertical="center" wrapText="1"/>
      <protection locked="0"/>
    </xf>
    <xf numFmtId="0" fontId="11" fillId="7" borderId="0" xfId="8" applyFont="1" applyFill="1" applyBorder="1" applyAlignment="1" applyProtection="1">
      <alignment horizontal="center" vertical="center" wrapText="1"/>
      <protection locked="0"/>
    </xf>
    <xf numFmtId="49" fontId="6" fillId="18" borderId="16" xfId="1" applyNumberFormat="1" applyFont="1" applyFill="1" applyBorder="1" applyAlignment="1" applyProtection="1">
      <alignment horizontal="center" vertical="center"/>
      <protection locked="0"/>
    </xf>
    <xf numFmtId="0" fontId="10" fillId="10" borderId="15" xfId="1" applyFont="1" applyFill="1" applyBorder="1" applyAlignment="1" applyProtection="1">
      <alignment horizontal="center" vertical="center" wrapText="1"/>
      <protection locked="0"/>
    </xf>
    <xf numFmtId="0" fontId="35" fillId="9" borderId="6" xfId="8" applyFont="1" applyFill="1" applyBorder="1" applyAlignment="1" applyProtection="1">
      <alignment horizontal="center" vertical="center" wrapText="1"/>
      <protection locked="0"/>
    </xf>
    <xf numFmtId="0" fontId="1" fillId="0" borderId="0" xfId="12" applyBorder="1" applyAlignment="1" applyProtection="1">
      <protection locked="0"/>
    </xf>
    <xf numFmtId="0" fontId="61" fillId="12" borderId="17" xfId="8" applyFont="1" applyFill="1" applyBorder="1" applyAlignment="1" applyProtection="1">
      <alignment horizontal="center" vertical="center" wrapText="1"/>
      <protection locked="0"/>
    </xf>
    <xf numFmtId="0" fontId="62" fillId="22" borderId="26" xfId="8" applyFont="1" applyFill="1" applyBorder="1" applyAlignment="1" applyProtection="1">
      <alignment horizontal="center" vertical="center" wrapText="1"/>
      <protection locked="0"/>
    </xf>
    <xf numFmtId="0" fontId="1" fillId="17" borderId="40" xfId="12" applyFill="1" applyBorder="1" applyAlignment="1" applyProtection="1">
      <alignment horizontal="center"/>
      <protection locked="0"/>
    </xf>
    <xf numFmtId="0" fontId="1" fillId="17" borderId="40" xfId="12" applyFill="1" applyBorder="1" applyAlignment="1" applyProtection="1">
      <alignment horizontal="center" wrapText="1"/>
      <protection locked="0"/>
    </xf>
    <xf numFmtId="0" fontId="0" fillId="0" borderId="0" xfId="0" applyProtection="1">
      <alignment vertical="center"/>
      <protection locked="0"/>
    </xf>
    <xf numFmtId="0" fontId="37" fillId="7" borderId="16" xfId="8" applyFont="1" applyFill="1" applyBorder="1" applyAlignment="1" applyProtection="1">
      <alignment horizontal="center" vertical="center" wrapText="1"/>
      <protection locked="0"/>
    </xf>
    <xf numFmtId="0" fontId="13" fillId="17" borderId="16" xfId="1" applyFont="1" applyFill="1" applyBorder="1" applyAlignment="1" applyProtection="1">
      <alignment horizontal="center" vertical="center" wrapText="1"/>
      <protection locked="0"/>
    </xf>
    <xf numFmtId="0" fontId="11" fillId="12" borderId="8" xfId="8" applyFont="1" applyFill="1" applyBorder="1" applyAlignment="1" applyProtection="1">
      <alignment horizontal="center" vertical="center" wrapText="1"/>
      <protection locked="0"/>
    </xf>
    <xf numFmtId="0" fontId="17" fillId="21" borderId="9" xfId="8" applyFont="1" applyFill="1" applyBorder="1" applyAlignment="1" applyProtection="1">
      <alignment horizontal="center" vertical="center" wrapText="1"/>
      <protection locked="0"/>
    </xf>
    <xf numFmtId="0" fontId="17" fillId="21" borderId="26" xfId="8" applyFont="1" applyFill="1" applyBorder="1" applyAlignment="1" applyProtection="1">
      <alignment horizontal="center" vertical="center" wrapText="1"/>
      <protection locked="0"/>
    </xf>
    <xf numFmtId="0" fontId="17" fillId="22" borderId="5" xfId="8" applyFont="1" applyFill="1" applyBorder="1" applyAlignment="1" applyProtection="1">
      <alignment horizontal="center" vertical="center" wrapText="1"/>
      <protection locked="0"/>
    </xf>
    <xf numFmtId="0" fontId="18" fillId="26" borderId="3" xfId="8" applyFont="1" applyFill="1" applyBorder="1" applyAlignment="1" applyProtection="1">
      <alignment horizontal="center" vertical="center" wrapText="1"/>
      <protection locked="0"/>
    </xf>
    <xf numFmtId="0" fontId="17" fillId="19" borderId="16" xfId="1" applyFont="1" applyFill="1" applyBorder="1" applyAlignment="1" applyProtection="1">
      <alignment horizontal="center" vertical="center" wrapText="1"/>
      <protection locked="0"/>
    </xf>
    <xf numFmtId="0" fontId="7" fillId="10" borderId="36" xfId="1" applyFont="1" applyFill="1" applyBorder="1" applyAlignment="1" applyProtection="1">
      <alignment horizontal="center" vertical="center" wrapText="1"/>
      <protection locked="0"/>
    </xf>
    <xf numFmtId="0" fontId="7" fillId="10" borderId="20" xfId="1" applyFont="1" applyFill="1" applyBorder="1" applyAlignment="1" applyProtection="1">
      <alignment horizontal="center" vertical="center" wrapText="1"/>
      <protection locked="0"/>
    </xf>
    <xf numFmtId="0" fontId="7" fillId="10" borderId="29" xfId="1" applyFont="1" applyFill="1" applyBorder="1" applyAlignment="1" applyProtection="1">
      <alignment horizontal="center" vertical="center" wrapText="1"/>
      <protection locked="0"/>
    </xf>
    <xf numFmtId="0" fontId="17" fillId="13" borderId="17" xfId="8" applyFont="1" applyFill="1" applyBorder="1" applyAlignment="1" applyProtection="1">
      <alignment horizontal="center" vertical="center" wrapText="1"/>
      <protection locked="0"/>
    </xf>
    <xf numFmtId="0" fontId="11" fillId="12" borderId="5" xfId="8" applyFont="1" applyFill="1" applyBorder="1" applyAlignment="1" applyProtection="1">
      <alignment horizontal="center" vertical="center" wrapText="1"/>
      <protection locked="0"/>
    </xf>
    <xf numFmtId="0" fontId="17" fillId="19" borderId="16" xfId="8" applyFont="1" applyFill="1" applyBorder="1" applyAlignment="1">
      <alignment horizontal="center" vertical="center" wrapText="1"/>
    </xf>
    <xf numFmtId="0" fontId="17" fillId="13" borderId="16" xfId="8" applyFont="1" applyFill="1" applyBorder="1" applyAlignment="1" applyProtection="1">
      <alignment horizontal="center" vertical="center" wrapText="1"/>
      <protection locked="0"/>
    </xf>
    <xf numFmtId="0" fontId="11" fillId="25" borderId="16" xfId="8" applyFont="1" applyFill="1" applyBorder="1" applyAlignment="1" applyProtection="1">
      <alignment horizontal="center" vertical="center" wrapText="1"/>
      <protection locked="0"/>
    </xf>
    <xf numFmtId="49" fontId="7" fillId="18" borderId="51" xfId="1" applyNumberFormat="1" applyFont="1" applyFill="1" applyBorder="1" applyAlignment="1">
      <alignment horizontal="center" vertical="center" wrapText="1"/>
    </xf>
    <xf numFmtId="0" fontId="11" fillId="7" borderId="49" xfId="8" applyFont="1" applyFill="1" applyBorder="1" applyAlignment="1">
      <alignment horizontal="center" vertical="center" wrapText="1"/>
    </xf>
    <xf numFmtId="0" fontId="33" fillId="7" borderId="49" xfId="12" applyFont="1" applyFill="1" applyBorder="1" applyAlignment="1">
      <alignment horizontal="center" vertical="center" wrapText="1"/>
    </xf>
    <xf numFmtId="0" fontId="38" fillId="7" borderId="49" xfId="8" applyFont="1" applyFill="1" applyBorder="1" applyAlignment="1">
      <alignment horizontal="center" vertical="center" wrapText="1"/>
    </xf>
    <xf numFmtId="0" fontId="35" fillId="7" borderId="49" xfId="8" applyFont="1" applyFill="1" applyBorder="1" applyAlignment="1">
      <alignment horizontal="center" vertical="center" wrapText="1"/>
    </xf>
    <xf numFmtId="0" fontId="10" fillId="7" borderId="49" xfId="1" applyFont="1" applyFill="1" applyBorder="1" applyAlignment="1">
      <alignment horizontal="center" vertical="center" wrapText="1"/>
    </xf>
    <xf numFmtId="0" fontId="0" fillId="7" borderId="49" xfId="0" applyFill="1" applyBorder="1">
      <alignment vertical="center"/>
    </xf>
    <xf numFmtId="0" fontId="8" fillId="7" borderId="49" xfId="8" applyFont="1" applyFill="1" applyBorder="1" applyAlignment="1">
      <alignment horizontal="center" vertical="center" wrapText="1"/>
    </xf>
    <xf numFmtId="0" fontId="46" fillId="7" borderId="49" xfId="8" applyFont="1" applyFill="1" applyBorder="1" applyAlignment="1">
      <alignment horizontal="center" vertical="center" wrapText="1"/>
    </xf>
    <xf numFmtId="0" fontId="13" fillId="7" borderId="49" xfId="1" applyFont="1" applyFill="1" applyBorder="1" applyAlignment="1">
      <alignment horizontal="center" vertical="center" wrapText="1"/>
    </xf>
    <xf numFmtId="49" fontId="32" fillId="7" borderId="5" xfId="1" applyNumberFormat="1" applyFont="1" applyFill="1" applyBorder="1" applyAlignment="1">
      <alignment horizontal="center" vertical="center" wrapText="1"/>
    </xf>
    <xf numFmtId="49" fontId="32" fillId="7" borderId="6" xfId="1" applyNumberFormat="1" applyFont="1" applyFill="1" applyBorder="1" applyAlignment="1">
      <alignment horizontal="center" vertical="center" wrapText="1"/>
    </xf>
    <xf numFmtId="0" fontId="8" fillId="12" borderId="16" xfId="8" applyFont="1" applyFill="1" applyBorder="1" applyAlignment="1">
      <alignment horizontal="center" vertical="center" wrapText="1"/>
    </xf>
    <xf numFmtId="0" fontId="38" fillId="33" borderId="26" xfId="8" applyFont="1" applyFill="1" applyBorder="1" applyAlignment="1">
      <alignment horizontal="center" vertical="center" wrapText="1"/>
    </xf>
    <xf numFmtId="0" fontId="33" fillId="7" borderId="16" xfId="12" applyFont="1" applyFill="1" applyBorder="1" applyAlignment="1">
      <alignment horizontal="center" vertical="center" wrapText="1"/>
    </xf>
    <xf numFmtId="0" fontId="8" fillId="11" borderId="16" xfId="8" applyFont="1" applyFill="1" applyBorder="1" applyAlignment="1">
      <alignment horizontal="center" vertical="center" wrapText="1"/>
    </xf>
    <xf numFmtId="0" fontId="35" fillId="11" borderId="16" xfId="8" applyFont="1" applyFill="1" applyBorder="1" applyAlignment="1">
      <alignment horizontal="center" vertical="center" wrapText="1"/>
    </xf>
    <xf numFmtId="0" fontId="13" fillId="11" borderId="16" xfId="1" applyFont="1" applyFill="1" applyBorder="1" applyAlignment="1">
      <alignment horizontal="center" vertical="center" wrapText="1"/>
    </xf>
    <xf numFmtId="0" fontId="38" fillId="33" borderId="16" xfId="8" applyFont="1" applyFill="1" applyBorder="1" applyAlignment="1">
      <alignment horizontal="center" vertical="center" wrapText="1"/>
    </xf>
    <xf numFmtId="0" fontId="33" fillId="7" borderId="26" xfId="12" applyFont="1" applyFill="1" applyBorder="1" applyAlignment="1">
      <alignment horizontal="center" vertical="center" wrapText="1"/>
    </xf>
    <xf numFmtId="0" fontId="13" fillId="12" borderId="16" xfId="1" applyFont="1" applyFill="1" applyBorder="1" applyAlignment="1">
      <alignment horizontal="center" vertical="center" wrapText="1"/>
    </xf>
    <xf numFmtId="0" fontId="13" fillId="17" borderId="16" xfId="1" applyFont="1" applyFill="1" applyBorder="1" applyAlignment="1">
      <alignment horizontal="center" vertical="center" wrapText="1"/>
    </xf>
    <xf numFmtId="0" fontId="8" fillId="8" borderId="16" xfId="8" applyFont="1" applyFill="1" applyBorder="1" applyAlignment="1">
      <alignment horizontal="center" vertical="center" wrapText="1"/>
    </xf>
    <xf numFmtId="0" fontId="8" fillId="17" borderId="16" xfId="8" applyFont="1" applyFill="1" applyBorder="1" applyAlignment="1">
      <alignment horizontal="center" vertical="center" wrapText="1"/>
    </xf>
    <xf numFmtId="0" fontId="11" fillId="7" borderId="26" xfId="8" applyFont="1" applyFill="1" applyBorder="1" applyAlignment="1">
      <alignment horizontal="center" vertical="center" wrapText="1"/>
    </xf>
    <xf numFmtId="0" fontId="11" fillId="7" borderId="16" xfId="8" applyFont="1" applyFill="1" applyBorder="1" applyAlignment="1">
      <alignment horizontal="center" vertical="center" wrapText="1"/>
    </xf>
    <xf numFmtId="0" fontId="49" fillId="0" borderId="26" xfId="0" applyFont="1" applyBorder="1">
      <alignment vertical="center"/>
    </xf>
    <xf numFmtId="0" fontId="17" fillId="13" borderId="15" xfId="8" applyFont="1" applyFill="1" applyBorder="1" applyAlignment="1" applyProtection="1">
      <alignment horizontal="center" vertical="center" wrapText="1"/>
      <protection locked="0"/>
    </xf>
    <xf numFmtId="0" fontId="11" fillId="0" borderId="17" xfId="8" applyFont="1" applyFill="1" applyBorder="1" applyAlignment="1" applyProtection="1">
      <alignment horizontal="center" vertical="center" wrapText="1"/>
      <protection locked="0"/>
    </xf>
    <xf numFmtId="0" fontId="11" fillId="0" borderId="26" xfId="8" applyFont="1" applyFill="1" applyBorder="1" applyAlignment="1" applyProtection="1">
      <alignment horizontal="center" vertical="center" wrapText="1"/>
      <protection locked="0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0" fontId="22" fillId="19" borderId="40" xfId="8" applyFont="1" applyFill="1" applyBorder="1" applyAlignment="1" applyProtection="1">
      <alignment horizontal="center" vertical="center" wrapText="1"/>
      <protection locked="0"/>
    </xf>
    <xf numFmtId="0" fontId="11" fillId="12" borderId="40" xfId="8" applyFont="1" applyFill="1" applyBorder="1" applyAlignment="1" applyProtection="1">
      <alignment horizontal="center" vertical="center" wrapText="1"/>
      <protection locked="0"/>
    </xf>
    <xf numFmtId="0" fontId="17" fillId="19" borderId="40" xfId="8" applyFont="1" applyFill="1" applyBorder="1" applyAlignment="1" applyProtection="1">
      <alignment horizontal="center" vertical="center" wrapText="1"/>
      <protection locked="0"/>
    </xf>
    <xf numFmtId="0" fontId="11" fillId="21" borderId="40" xfId="8" applyFont="1" applyFill="1" applyBorder="1" applyAlignment="1" applyProtection="1">
      <alignment horizontal="center" vertical="center" wrapText="1"/>
      <protection locked="0"/>
    </xf>
    <xf numFmtId="0" fontId="18" fillId="11" borderId="17" xfId="8" applyFont="1" applyFill="1" applyBorder="1" applyAlignment="1" applyProtection="1">
      <alignment horizontal="center" vertical="center" wrapText="1"/>
      <protection locked="0"/>
    </xf>
    <xf numFmtId="0" fontId="18" fillId="11" borderId="17" xfId="8" applyFont="1" applyFill="1" applyBorder="1" applyAlignment="1" applyProtection="1">
      <alignment horizontal="center" vertical="center"/>
      <protection locked="0"/>
    </xf>
    <xf numFmtId="0" fontId="17" fillId="21" borderId="15" xfId="8" applyFont="1" applyFill="1" applyBorder="1" applyAlignment="1" applyProtection="1">
      <alignment horizontal="center" vertical="center" wrapText="1"/>
      <protection locked="0"/>
    </xf>
    <xf numFmtId="0" fontId="17" fillId="11" borderId="22" xfId="8" applyFont="1" applyFill="1" applyBorder="1" applyAlignment="1" applyProtection="1">
      <alignment horizontal="center" vertical="center" wrapText="1"/>
      <protection locked="0"/>
    </xf>
    <xf numFmtId="0" fontId="18" fillId="28" borderId="2" xfId="1" applyFont="1" applyFill="1" applyBorder="1" applyAlignment="1" applyProtection="1">
      <alignment horizontal="center" vertical="center" wrapText="1"/>
      <protection locked="0"/>
    </xf>
    <xf numFmtId="0" fontId="18" fillId="31" borderId="57" xfId="8" applyFont="1" applyFill="1" applyBorder="1" applyAlignment="1" applyProtection="1">
      <alignment horizontal="center" vertical="center" wrapText="1"/>
      <protection locked="0"/>
    </xf>
    <xf numFmtId="0" fontId="18" fillId="14" borderId="2" xfId="1" applyFont="1" applyFill="1" applyBorder="1" applyAlignment="1" applyProtection="1">
      <alignment horizontal="center" vertical="center" wrapText="1"/>
      <protection locked="0"/>
    </xf>
    <xf numFmtId="0" fontId="18" fillId="11" borderId="26" xfId="8" applyFont="1" applyFill="1" applyBorder="1" applyAlignment="1" applyProtection="1">
      <alignment horizontal="center" vertical="center" wrapText="1"/>
      <protection locked="0"/>
    </xf>
    <xf numFmtId="0" fontId="17" fillId="0" borderId="16" xfId="8" applyFont="1" applyFill="1" applyBorder="1" applyAlignment="1" applyProtection="1">
      <alignment horizontal="center" vertical="center" wrapText="1"/>
      <protection locked="0"/>
    </xf>
    <xf numFmtId="0" fontId="17" fillId="0" borderId="17" xfId="8" applyFont="1" applyFill="1" applyBorder="1" applyAlignment="1" applyProtection="1">
      <alignment horizontal="center" vertical="center" wrapText="1"/>
      <protection locked="0"/>
    </xf>
    <xf numFmtId="0" fontId="11" fillId="0" borderId="16" xfId="8" applyFont="1" applyFill="1" applyBorder="1" applyAlignment="1">
      <alignment horizontal="center" vertical="center" wrapText="1"/>
    </xf>
    <xf numFmtId="0" fontId="11" fillId="0" borderId="16" xfId="8" applyFont="1" applyFill="1" applyBorder="1" applyAlignment="1" applyProtection="1">
      <alignment horizontal="center" vertical="center" wrapText="1"/>
      <protection locked="0"/>
    </xf>
    <xf numFmtId="0" fontId="17" fillId="0" borderId="26" xfId="8" applyFont="1" applyFill="1" applyBorder="1" applyAlignment="1" applyProtection="1">
      <alignment horizontal="center" vertical="center" wrapText="1"/>
      <protection locked="0"/>
    </xf>
    <xf numFmtId="0" fontId="11" fillId="0" borderId="17" xfId="0" applyFont="1" applyFill="1" applyBorder="1" applyAlignment="1">
      <alignment horizontal="center" vertical="center" wrapText="1"/>
    </xf>
    <xf numFmtId="0" fontId="11" fillId="0" borderId="26" xfId="0" applyFont="1" applyFill="1" applyBorder="1" applyAlignment="1">
      <alignment horizontal="center" vertical="center" wrapText="1"/>
    </xf>
    <xf numFmtId="0" fontId="11" fillId="0" borderId="16" xfId="0" applyFont="1" applyFill="1" applyBorder="1" applyAlignment="1">
      <alignment horizontal="center" vertical="center" wrapText="1"/>
    </xf>
    <xf numFmtId="49" fontId="32" fillId="0" borderId="16" xfId="1" applyNumberFormat="1" applyFont="1" applyFill="1" applyBorder="1" applyAlignment="1" applyProtection="1">
      <alignment horizontal="center" vertical="center" wrapText="1"/>
      <protection locked="0"/>
    </xf>
    <xf numFmtId="49" fontId="32" fillId="0" borderId="17" xfId="1" applyNumberFormat="1" applyFont="1" applyFill="1" applyBorder="1" applyAlignment="1" applyProtection="1">
      <alignment horizontal="center" vertical="center" wrapText="1"/>
      <protection locked="0"/>
    </xf>
    <xf numFmtId="0" fontId="61" fillId="0" borderId="16" xfId="8" applyFont="1" applyFill="1" applyBorder="1" applyAlignment="1" applyProtection="1">
      <alignment horizontal="center" vertical="center" wrapText="1"/>
      <protection locked="0"/>
    </xf>
    <xf numFmtId="0" fontId="61" fillId="0" borderId="17" xfId="8" applyFont="1" applyFill="1" applyBorder="1" applyAlignment="1" applyProtection="1">
      <alignment horizontal="center" vertical="center" wrapText="1"/>
      <protection locked="0"/>
    </xf>
    <xf numFmtId="0" fontId="17" fillId="0" borderId="15" xfId="8" applyFont="1" applyFill="1" applyBorder="1" applyAlignment="1" applyProtection="1">
      <alignment horizontal="center" vertical="center" wrapText="1"/>
      <protection locked="0"/>
    </xf>
    <xf numFmtId="0" fontId="11" fillId="0" borderId="15" xfId="0" applyFont="1" applyFill="1" applyBorder="1" applyAlignment="1">
      <alignment horizontal="center" vertical="center" wrapText="1"/>
    </xf>
    <xf numFmtId="0" fontId="11" fillId="0" borderId="22" xfId="0" applyFont="1" applyFill="1" applyBorder="1" applyAlignment="1">
      <alignment horizontal="center" vertical="center" wrapText="1"/>
    </xf>
    <xf numFmtId="0" fontId="11" fillId="0" borderId="19" xfId="0" applyFont="1" applyFill="1" applyBorder="1" applyAlignment="1">
      <alignment horizontal="center" vertical="center" wrapText="1"/>
    </xf>
    <xf numFmtId="0" fontId="11" fillId="0" borderId="40" xfId="0" applyFont="1" applyFill="1" applyBorder="1" applyAlignment="1">
      <alignment horizontal="center" vertical="center" wrapText="1"/>
    </xf>
    <xf numFmtId="0" fontId="18" fillId="20" borderId="17" xfId="8" applyFont="1" applyFill="1" applyBorder="1" applyAlignment="1" applyProtection="1">
      <alignment horizontal="center" vertical="center" wrapText="1"/>
      <protection locked="0"/>
    </xf>
    <xf numFmtId="0" fontId="18" fillId="31" borderId="17" xfId="8" applyFont="1" applyFill="1" applyBorder="1" applyAlignment="1" applyProtection="1">
      <alignment horizontal="center" vertical="center" wrapText="1"/>
      <protection locked="0"/>
    </xf>
    <xf numFmtId="0" fontId="18" fillId="31" borderId="16" xfId="8" applyFont="1" applyFill="1" applyBorder="1" applyAlignment="1" applyProtection="1">
      <alignment horizontal="center" vertical="center" wrapText="1"/>
      <protection locked="0"/>
    </xf>
    <xf numFmtId="0" fontId="11" fillId="20" borderId="9" xfId="0" applyFont="1" applyFill="1" applyBorder="1" applyAlignment="1">
      <alignment horizontal="center" vertical="center" wrapText="1"/>
    </xf>
    <xf numFmtId="0" fontId="35" fillId="9" borderId="5" xfId="8" applyFont="1" applyFill="1" applyBorder="1" applyAlignment="1" applyProtection="1">
      <alignment horizontal="center" vertical="center" wrapText="1"/>
      <protection locked="0"/>
    </xf>
    <xf numFmtId="0" fontId="35" fillId="9" borderId="8" xfId="8" applyFont="1" applyFill="1" applyBorder="1" applyAlignment="1" applyProtection="1">
      <alignment horizontal="center" vertical="center" wrapText="1"/>
      <protection locked="0"/>
    </xf>
    <xf numFmtId="0" fontId="18" fillId="23" borderId="22" xfId="1" applyFont="1" applyFill="1" applyBorder="1" applyAlignment="1" applyProtection="1">
      <alignment horizontal="center" vertical="center" wrapText="1"/>
      <protection locked="0"/>
    </xf>
    <xf numFmtId="0" fontId="18" fillId="8" borderId="3" xfId="3" applyFont="1" applyFill="1" applyBorder="1" applyAlignment="1" applyProtection="1">
      <alignment horizontal="center" vertical="center" wrapText="1"/>
      <protection locked="0"/>
    </xf>
    <xf numFmtId="0" fontId="18" fillId="14" borderId="1" xfId="3" applyFont="1" applyFill="1" applyBorder="1" applyAlignment="1" applyProtection="1">
      <alignment horizontal="center" vertical="center" wrapText="1"/>
      <protection locked="0"/>
    </xf>
    <xf numFmtId="0" fontId="18" fillId="14" borderId="3" xfId="1" applyFont="1" applyFill="1" applyBorder="1" applyAlignment="1" applyProtection="1">
      <alignment horizontal="center" vertical="center" wrapText="1"/>
      <protection locked="0"/>
    </xf>
    <xf numFmtId="0" fontId="18" fillId="31" borderId="1" xfId="8" applyFont="1" applyFill="1" applyBorder="1" applyAlignment="1" applyProtection="1">
      <alignment horizontal="center" vertical="center" wrapText="1"/>
      <protection locked="0"/>
    </xf>
    <xf numFmtId="0" fontId="18" fillId="31" borderId="30" xfId="8" applyFont="1" applyFill="1" applyBorder="1" applyAlignment="1" applyProtection="1">
      <alignment horizontal="center" vertical="center" wrapText="1"/>
      <protection locked="0"/>
    </xf>
    <xf numFmtId="0" fontId="17" fillId="22" borderId="15" xfId="8" applyFont="1" applyFill="1" applyBorder="1" applyAlignment="1" applyProtection="1">
      <alignment horizontal="center" vertical="center" wrapText="1"/>
      <protection locked="0"/>
    </xf>
    <xf numFmtId="0" fontId="18" fillId="31" borderId="15" xfId="8" applyFont="1" applyFill="1" applyBorder="1" applyAlignment="1" applyProtection="1">
      <alignment horizontal="center" vertical="center" wrapText="1"/>
      <protection locked="0"/>
    </xf>
    <xf numFmtId="0" fontId="18" fillId="31" borderId="6" xfId="8" applyFont="1" applyFill="1" applyBorder="1" applyAlignment="1" applyProtection="1">
      <alignment horizontal="center" vertical="center" wrapText="1"/>
      <protection locked="0"/>
    </xf>
    <xf numFmtId="0" fontId="11" fillId="20" borderId="8" xfId="0" applyFont="1" applyFill="1" applyBorder="1" applyAlignment="1">
      <alignment horizontal="center" vertical="center" wrapText="1"/>
    </xf>
    <xf numFmtId="0" fontId="11" fillId="25" borderId="26" xfId="8" applyFont="1" applyFill="1" applyBorder="1" applyAlignment="1" applyProtection="1">
      <alignment horizontal="center" vertical="center" wrapText="1"/>
      <protection locked="0"/>
    </xf>
    <xf numFmtId="0" fontId="18" fillId="11" borderId="26" xfId="8" applyFont="1" applyFill="1" applyBorder="1" applyAlignment="1" applyProtection="1">
      <alignment horizontal="center" vertical="center"/>
      <protection locked="0"/>
    </xf>
    <xf numFmtId="0" fontId="18" fillId="30" borderId="36" xfId="1" applyFont="1" applyFill="1" applyBorder="1" applyAlignment="1" applyProtection="1">
      <alignment horizontal="center" vertical="center" wrapText="1"/>
      <protection locked="0"/>
    </xf>
    <xf numFmtId="0" fontId="18" fillId="30" borderId="20" xfId="1" applyFont="1" applyFill="1" applyBorder="1" applyAlignment="1" applyProtection="1">
      <alignment horizontal="center" vertical="center" wrapText="1"/>
      <protection locked="0"/>
    </xf>
    <xf numFmtId="0" fontId="18" fillId="8" borderId="29" xfId="1" applyFont="1" applyFill="1" applyBorder="1" applyAlignment="1" applyProtection="1">
      <alignment horizontal="center" vertical="center" wrapText="1"/>
      <protection locked="0"/>
    </xf>
    <xf numFmtId="0" fontId="27" fillId="0" borderId="56" xfId="0" applyFont="1" applyBorder="1" applyProtection="1">
      <alignment vertical="center"/>
      <protection locked="0"/>
    </xf>
    <xf numFmtId="0" fontId="11" fillId="19" borderId="6" xfId="8" applyFont="1" applyFill="1" applyBorder="1" applyAlignment="1" applyProtection="1">
      <alignment horizontal="center" vertical="center" wrapText="1"/>
      <protection locked="0"/>
    </xf>
    <xf numFmtId="49" fontId="6" fillId="18" borderId="17" xfId="1" applyNumberFormat="1" applyFont="1" applyFill="1" applyBorder="1" applyAlignment="1" applyProtection="1">
      <alignment horizontal="center" vertical="center"/>
      <protection locked="0"/>
    </xf>
    <xf numFmtId="0" fontId="6" fillId="12" borderId="17" xfId="8" applyFont="1" applyFill="1" applyBorder="1" applyAlignment="1" applyProtection="1">
      <alignment horizontal="center" vertical="center" wrapText="1"/>
      <protection locked="0"/>
    </xf>
    <xf numFmtId="0" fontId="1" fillId="17" borderId="17" xfId="12" applyFill="1" applyBorder="1" applyAlignment="1" applyProtection="1">
      <alignment horizontal="center"/>
      <protection locked="0"/>
    </xf>
    <xf numFmtId="0" fontId="1" fillId="17" borderId="40" xfId="12" applyFill="1" applyBorder="1" applyAlignment="1" applyProtection="1">
      <alignment horizontal="center"/>
      <protection locked="0"/>
    </xf>
    <xf numFmtId="0" fontId="1" fillId="17" borderId="40" xfId="12" applyFill="1" applyBorder="1" applyAlignment="1" applyProtection="1">
      <alignment horizontal="center"/>
      <protection locked="0"/>
    </xf>
    <xf numFmtId="0" fontId="1" fillId="17" borderId="17" xfId="12" applyFill="1" applyBorder="1" applyAlignment="1" applyProtection="1">
      <alignment horizontal="center"/>
      <protection locked="0"/>
    </xf>
    <xf numFmtId="49" fontId="6" fillId="18" borderId="17" xfId="1" applyNumberFormat="1" applyFont="1" applyFill="1" applyBorder="1" applyAlignment="1" applyProtection="1">
      <alignment horizontal="center" vertical="center"/>
      <protection locked="0"/>
    </xf>
    <xf numFmtId="49" fontId="32" fillId="7" borderId="17" xfId="1" applyNumberFormat="1" applyFont="1" applyFill="1" applyBorder="1" applyAlignment="1">
      <alignment horizontal="center" vertical="center" wrapText="1"/>
    </xf>
    <xf numFmtId="49" fontId="31" fillId="7" borderId="36" xfId="1" applyNumberFormat="1" applyFont="1" applyFill="1" applyBorder="1" applyAlignment="1" applyProtection="1">
      <alignment horizontal="center" vertical="center"/>
      <protection locked="0"/>
    </xf>
    <xf numFmtId="49" fontId="31" fillId="7" borderId="20" xfId="1" applyNumberFormat="1" applyFont="1" applyFill="1" applyBorder="1" applyAlignment="1" applyProtection="1">
      <alignment horizontal="center" vertical="center"/>
      <protection locked="0"/>
    </xf>
    <xf numFmtId="49" fontId="31" fillId="7" borderId="29" xfId="1" applyNumberFormat="1" applyFont="1" applyFill="1" applyBorder="1" applyAlignment="1" applyProtection="1">
      <alignment horizontal="center" vertical="center"/>
      <protection locked="0"/>
    </xf>
    <xf numFmtId="0" fontId="1" fillId="0" borderId="19" xfId="12" applyBorder="1" applyAlignment="1">
      <alignment horizontal="center" vertical="center"/>
    </xf>
    <xf numFmtId="49" fontId="39" fillId="0" borderId="38" xfId="12" applyNumberFormat="1" applyFont="1" applyBorder="1" applyAlignment="1">
      <alignment horizontal="center"/>
    </xf>
    <xf numFmtId="0" fontId="51" fillId="7" borderId="3" xfId="8" applyFont="1" applyFill="1" applyBorder="1" applyAlignment="1" applyProtection="1">
      <alignment horizontal="center" vertical="center" wrapText="1"/>
      <protection locked="0"/>
    </xf>
    <xf numFmtId="0" fontId="51" fillId="7" borderId="1" xfId="8" applyFont="1" applyFill="1" applyBorder="1" applyAlignment="1" applyProtection="1">
      <alignment horizontal="center" vertical="center" wrapText="1"/>
      <protection locked="0"/>
    </xf>
    <xf numFmtId="0" fontId="51" fillId="7" borderId="30" xfId="8" applyFont="1" applyFill="1" applyBorder="1" applyAlignment="1" applyProtection="1">
      <alignment horizontal="center" vertical="center" wrapText="1"/>
      <protection locked="0"/>
    </xf>
    <xf numFmtId="49" fontId="45" fillId="26" borderId="5" xfId="1" applyNumberFormat="1" applyFont="1" applyFill="1" applyBorder="1" applyAlignment="1" applyProtection="1">
      <alignment horizontal="center" vertical="center" wrapText="1"/>
      <protection locked="0"/>
    </xf>
    <xf numFmtId="49" fontId="45" fillId="26" borderId="15" xfId="1" applyNumberFormat="1" applyFont="1" applyFill="1" applyBorder="1" applyAlignment="1" applyProtection="1">
      <alignment horizontal="center" vertical="center" wrapText="1"/>
      <protection locked="0"/>
    </xf>
    <xf numFmtId="49" fontId="45" fillId="26" borderId="53" xfId="1" applyNumberFormat="1" applyFont="1" applyFill="1" applyBorder="1" applyAlignment="1" applyProtection="1">
      <alignment horizontal="center" vertical="center" wrapText="1"/>
      <protection locked="0"/>
    </xf>
    <xf numFmtId="0" fontId="6" fillId="26" borderId="16" xfId="1" applyFont="1" applyFill="1" applyBorder="1" applyAlignment="1" applyProtection="1">
      <alignment horizontal="center" vertical="center" wrapText="1"/>
      <protection locked="0"/>
    </xf>
    <xf numFmtId="0" fontId="6" fillId="26" borderId="17" xfId="1" applyFont="1" applyFill="1" applyBorder="1" applyAlignment="1" applyProtection="1">
      <alignment horizontal="center" vertical="center" wrapText="1"/>
      <protection locked="0"/>
    </xf>
    <xf numFmtId="0" fontId="6" fillId="26" borderId="40" xfId="1" applyFont="1" applyFill="1" applyBorder="1" applyAlignment="1" applyProtection="1">
      <alignment horizontal="center" vertical="center" wrapText="1"/>
      <protection locked="0"/>
    </xf>
    <xf numFmtId="49" fontId="6" fillId="18" borderId="17" xfId="1" applyNumberFormat="1" applyFont="1" applyFill="1" applyBorder="1" applyAlignment="1" applyProtection="1">
      <alignment horizontal="center" vertical="center"/>
      <protection locked="0"/>
    </xf>
    <xf numFmtId="49" fontId="6" fillId="26" borderId="16" xfId="1" applyNumberFormat="1" applyFont="1" applyFill="1" applyBorder="1" applyAlignment="1" applyProtection="1">
      <alignment horizontal="center" vertical="center" wrapText="1"/>
      <protection locked="0"/>
    </xf>
    <xf numFmtId="49" fontId="6" fillId="26" borderId="17" xfId="1" applyNumberFormat="1" applyFont="1" applyFill="1" applyBorder="1" applyAlignment="1" applyProtection="1">
      <alignment horizontal="center" vertical="center" wrapText="1"/>
      <protection locked="0"/>
    </xf>
    <xf numFmtId="49" fontId="6" fillId="26" borderId="40" xfId="1" applyNumberFormat="1" applyFont="1" applyFill="1" applyBorder="1" applyAlignment="1" applyProtection="1">
      <alignment horizontal="center" vertical="center" wrapText="1"/>
      <protection locked="0"/>
    </xf>
    <xf numFmtId="49" fontId="6" fillId="26" borderId="8" xfId="1" applyNumberFormat="1" applyFont="1" applyFill="1" applyBorder="1" applyAlignment="1" applyProtection="1">
      <alignment horizontal="center" vertical="center" wrapText="1"/>
      <protection locked="0"/>
    </xf>
    <xf numFmtId="49" fontId="6" fillId="26" borderId="22" xfId="1" applyNumberFormat="1" applyFont="1" applyFill="1" applyBorder="1" applyAlignment="1" applyProtection="1">
      <alignment horizontal="center" vertical="center" wrapText="1"/>
      <protection locked="0"/>
    </xf>
    <xf numFmtId="49" fontId="6" fillId="26" borderId="50" xfId="1" applyNumberFormat="1" applyFont="1" applyFill="1" applyBorder="1" applyAlignment="1" applyProtection="1">
      <alignment horizontal="center" vertical="center" wrapText="1"/>
      <protection locked="0"/>
    </xf>
    <xf numFmtId="0" fontId="39" fillId="35" borderId="47" xfId="0" applyFont="1" applyFill="1" applyBorder="1" applyAlignment="1" applyProtection="1">
      <alignment horizontal="center" vertical="center"/>
      <protection locked="0"/>
    </xf>
    <xf numFmtId="0" fontId="39" fillId="35" borderId="45" xfId="0" applyFont="1" applyFill="1" applyBorder="1" applyAlignment="1" applyProtection="1">
      <alignment horizontal="center" vertical="center"/>
      <protection locked="0"/>
    </xf>
    <xf numFmtId="0" fontId="0" fillId="5" borderId="32" xfId="0" applyFill="1" applyBorder="1" applyProtection="1">
      <alignment vertical="center"/>
      <protection locked="0"/>
    </xf>
    <xf numFmtId="0" fontId="0" fillId="5" borderId="0" xfId="0" applyFill="1" applyBorder="1" applyProtection="1">
      <alignment vertical="center"/>
      <protection locked="0"/>
    </xf>
    <xf numFmtId="0" fontId="39" fillId="0" borderId="43" xfId="0" applyFont="1" applyBorder="1" applyAlignment="1" applyProtection="1">
      <alignment horizontal="center" vertical="center"/>
      <protection locked="0"/>
    </xf>
    <xf numFmtId="0" fontId="39" fillId="0" borderId="25" xfId="0" applyFont="1" applyBorder="1" applyAlignment="1" applyProtection="1">
      <alignment horizontal="center" vertical="center"/>
      <protection locked="0"/>
    </xf>
    <xf numFmtId="0" fontId="0" fillId="3" borderId="11" xfId="0" applyFill="1" applyBorder="1" applyProtection="1">
      <alignment vertical="center"/>
      <protection locked="0"/>
    </xf>
    <xf numFmtId="0" fontId="0" fillId="3" borderId="48" xfId="0" applyFill="1" applyBorder="1" applyProtection="1">
      <alignment vertical="center"/>
      <protection locked="0"/>
    </xf>
    <xf numFmtId="0" fontId="39" fillId="0" borderId="11" xfId="0" applyFont="1" applyBorder="1" applyAlignment="1" applyProtection="1">
      <alignment horizontal="center" vertical="center"/>
      <protection locked="0"/>
    </xf>
    <xf numFmtId="0" fontId="39" fillId="0" borderId="45" xfId="0" applyFont="1" applyBorder="1" applyAlignment="1" applyProtection="1">
      <alignment horizontal="center" vertical="center"/>
      <protection locked="0"/>
    </xf>
    <xf numFmtId="0" fontId="50" fillId="5" borderId="5" xfId="0" applyFont="1" applyFill="1" applyBorder="1" applyAlignment="1" applyProtection="1">
      <alignment horizontal="center" vertical="center"/>
      <protection locked="0"/>
    </xf>
    <xf numFmtId="0" fontId="50" fillId="5" borderId="15" xfId="0" applyFont="1" applyFill="1" applyBorder="1" applyAlignment="1" applyProtection="1">
      <alignment horizontal="center" vertical="center"/>
      <protection locked="0"/>
    </xf>
    <xf numFmtId="0" fontId="50" fillId="5" borderId="53" xfId="0" applyFont="1" applyFill="1" applyBorder="1" applyAlignment="1" applyProtection="1">
      <alignment horizontal="center" vertical="center"/>
      <protection locked="0"/>
    </xf>
    <xf numFmtId="0" fontId="50" fillId="5" borderId="16" xfId="0" applyFont="1" applyFill="1" applyBorder="1" applyAlignment="1" applyProtection="1">
      <alignment horizontal="center" vertical="center"/>
      <protection locked="0"/>
    </xf>
    <xf numFmtId="0" fontId="50" fillId="5" borderId="17" xfId="0" applyFont="1" applyFill="1" applyBorder="1" applyAlignment="1" applyProtection="1">
      <alignment horizontal="center" vertical="center"/>
      <protection locked="0"/>
    </xf>
    <xf numFmtId="0" fontId="50" fillId="5" borderId="40" xfId="0" applyFont="1" applyFill="1" applyBorder="1" applyAlignment="1" applyProtection="1">
      <alignment horizontal="center" vertical="center"/>
      <protection locked="0"/>
    </xf>
    <xf numFmtId="0" fontId="50" fillId="3" borderId="16" xfId="0" applyFont="1" applyFill="1" applyBorder="1" applyAlignment="1" applyProtection="1">
      <alignment horizontal="center" vertical="center"/>
      <protection locked="0"/>
    </xf>
    <xf numFmtId="0" fontId="50" fillId="3" borderId="17" xfId="0" applyFont="1" applyFill="1" applyBorder="1" applyAlignment="1" applyProtection="1">
      <alignment horizontal="center" vertical="center"/>
      <protection locked="0"/>
    </xf>
    <xf numFmtId="0" fontId="50" fillId="3" borderId="40" xfId="0" applyFont="1" applyFill="1" applyBorder="1" applyAlignment="1" applyProtection="1">
      <alignment horizontal="center" vertical="center"/>
      <protection locked="0"/>
    </xf>
    <xf numFmtId="49" fontId="6" fillId="18" borderId="5" xfId="1" applyNumberFormat="1" applyFont="1" applyFill="1" applyBorder="1" applyAlignment="1" applyProtection="1">
      <alignment horizontal="center" vertical="center" wrapText="1"/>
      <protection locked="0"/>
    </xf>
    <xf numFmtId="49" fontId="6" fillId="18" borderId="18" xfId="1" applyNumberFormat="1" applyFont="1" applyFill="1" applyBorder="1" applyAlignment="1" applyProtection="1">
      <alignment horizontal="center" vertical="center" wrapText="1"/>
      <protection locked="0"/>
    </xf>
    <xf numFmtId="49" fontId="6" fillId="18" borderId="17" xfId="1" applyNumberFormat="1" applyFont="1" applyFill="1" applyBorder="1" applyAlignment="1" applyProtection="1">
      <alignment horizontal="center" vertical="center" wrapText="1"/>
      <protection locked="0"/>
    </xf>
    <xf numFmtId="49" fontId="6" fillId="18" borderId="22" xfId="1" applyNumberFormat="1" applyFont="1" applyFill="1" applyBorder="1" applyAlignment="1" applyProtection="1">
      <alignment horizontal="center" vertical="center"/>
      <protection locked="0"/>
    </xf>
    <xf numFmtId="49" fontId="6" fillId="18" borderId="5" xfId="1" applyNumberFormat="1" applyFont="1" applyFill="1" applyBorder="1" applyAlignment="1" applyProtection="1">
      <alignment horizontal="center" vertical="center"/>
      <protection locked="0"/>
    </xf>
    <xf numFmtId="49" fontId="6" fillId="18" borderId="16" xfId="1" applyNumberFormat="1" applyFont="1" applyFill="1" applyBorder="1" applyAlignment="1" applyProtection="1">
      <alignment horizontal="center" vertical="center"/>
      <protection locked="0"/>
    </xf>
    <xf numFmtId="49" fontId="6" fillId="18" borderId="8" xfId="1" applyNumberFormat="1" applyFont="1" applyFill="1" applyBorder="1" applyAlignment="1" applyProtection="1">
      <alignment horizontal="center" vertical="center"/>
      <protection locked="0"/>
    </xf>
    <xf numFmtId="0" fontId="6" fillId="12" borderId="17" xfId="8" applyFont="1" applyFill="1" applyBorder="1" applyAlignment="1" applyProtection="1">
      <alignment horizontal="center" vertical="center" wrapText="1"/>
      <protection locked="0"/>
    </xf>
    <xf numFmtId="0" fontId="6" fillId="3" borderId="17" xfId="5" applyFont="1" applyFill="1" applyBorder="1" applyAlignment="1" applyProtection="1">
      <alignment horizontal="center" vertical="center" wrapText="1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6" fillId="3" borderId="17" xfId="1" applyFont="1" applyFill="1" applyBorder="1" applyAlignment="1" applyProtection="1">
      <alignment horizontal="center" vertical="center" wrapText="1"/>
      <protection locked="0"/>
    </xf>
    <xf numFmtId="49" fontId="44" fillId="3" borderId="17" xfId="1" applyNumberFormat="1" applyFont="1" applyFill="1" applyBorder="1" applyAlignment="1" applyProtection="1">
      <alignment horizontal="center" vertical="center" wrapText="1"/>
      <protection locked="0"/>
    </xf>
    <xf numFmtId="0" fontId="45" fillId="5" borderId="17" xfId="0" applyFont="1" applyFill="1" applyBorder="1" applyAlignment="1" applyProtection="1">
      <alignment horizontal="center" vertical="center"/>
      <protection locked="0"/>
    </xf>
    <xf numFmtId="0" fontId="6" fillId="5" borderId="17" xfId="5" applyFont="1" applyFill="1" applyBorder="1" applyAlignment="1" applyProtection="1">
      <alignment horizontal="center" vertical="center" wrapText="1"/>
      <protection locked="0"/>
    </xf>
    <xf numFmtId="0" fontId="6" fillId="5" borderId="17" xfId="1" applyFont="1" applyFill="1" applyBorder="1" applyAlignment="1" applyProtection="1">
      <alignment horizontal="center" vertical="center" wrapText="1"/>
      <protection locked="0"/>
    </xf>
    <xf numFmtId="0" fontId="4" fillId="5" borderId="17" xfId="0" applyFont="1" applyFill="1" applyBorder="1" applyAlignment="1" applyProtection="1">
      <alignment horizontal="center" vertical="center"/>
      <protection locked="0"/>
    </xf>
    <xf numFmtId="0" fontId="47" fillId="5" borderId="17" xfId="0" applyFont="1" applyFill="1" applyBorder="1" applyAlignment="1" applyProtection="1">
      <alignment horizontal="center" vertical="center"/>
      <protection locked="0"/>
    </xf>
    <xf numFmtId="0" fontId="39" fillId="5" borderId="17" xfId="0" applyFont="1" applyFill="1" applyBorder="1" applyAlignment="1" applyProtection="1">
      <alignment horizontal="center" vertical="center"/>
      <protection locked="0"/>
    </xf>
    <xf numFmtId="0" fontId="6" fillId="11" borderId="17" xfId="5" applyFont="1" applyFill="1" applyBorder="1" applyAlignment="1" applyProtection="1">
      <alignment horizontal="center" vertical="center" wrapText="1"/>
      <protection locked="0"/>
    </xf>
    <xf numFmtId="49" fontId="6" fillId="11" borderId="17" xfId="1" applyNumberFormat="1" applyFont="1" applyFill="1" applyBorder="1" applyAlignment="1" applyProtection="1">
      <alignment horizontal="center" vertical="center" wrapText="1"/>
      <protection locked="0"/>
    </xf>
    <xf numFmtId="0" fontId="6" fillId="11" borderId="17" xfId="8" applyFont="1" applyFill="1" applyBorder="1" applyAlignment="1" applyProtection="1">
      <alignment horizontal="center" vertical="center" wrapText="1"/>
      <protection locked="0"/>
    </xf>
    <xf numFmtId="0" fontId="1" fillId="17" borderId="17" xfId="12" applyFill="1" applyBorder="1" applyAlignment="1" applyProtection="1">
      <alignment horizontal="center"/>
      <protection locked="0"/>
    </xf>
    <xf numFmtId="0" fontId="6" fillId="11" borderId="22" xfId="5" applyFont="1" applyFill="1" applyBorder="1" applyAlignment="1" applyProtection="1">
      <alignment horizontal="center" vertical="center" wrapText="1"/>
      <protection locked="0"/>
    </xf>
    <xf numFmtId="0" fontId="6" fillId="12" borderId="15" xfId="8" applyFont="1" applyFill="1" applyBorder="1" applyAlignment="1" applyProtection="1">
      <alignment horizontal="center" vertical="center" wrapText="1"/>
      <protection locked="0"/>
    </xf>
    <xf numFmtId="0" fontId="1" fillId="17" borderId="17" xfId="12" applyFill="1" applyBorder="1" applyAlignment="1" applyProtection="1">
      <alignment horizontal="center" wrapText="1"/>
      <protection locked="0"/>
    </xf>
    <xf numFmtId="49" fontId="6" fillId="18" borderId="15" xfId="1" applyNumberFormat="1" applyFont="1" applyFill="1" applyBorder="1" applyAlignment="1" applyProtection="1">
      <alignment horizontal="center" vertical="center" wrapText="1"/>
      <protection locked="0"/>
    </xf>
    <xf numFmtId="49" fontId="6" fillId="18" borderId="19" xfId="1" applyNumberFormat="1" applyFont="1" applyFill="1" applyBorder="1" applyAlignment="1" applyProtection="1">
      <alignment horizontal="center" vertical="center" wrapText="1"/>
      <protection locked="0"/>
    </xf>
    <xf numFmtId="0" fontId="11" fillId="17" borderId="17" xfId="12" applyFont="1" applyFill="1" applyBorder="1" applyAlignment="1" applyProtection="1">
      <alignment horizontal="center" wrapText="1"/>
      <protection locked="0"/>
    </xf>
    <xf numFmtId="0" fontId="1" fillId="17" borderId="40" xfId="12" applyFill="1" applyBorder="1" applyAlignment="1" applyProtection="1">
      <alignment horizontal="center"/>
      <protection locked="0"/>
    </xf>
    <xf numFmtId="0" fontId="1" fillId="17" borderId="22" xfId="12" applyFill="1" applyBorder="1" applyAlignment="1" applyProtection="1">
      <alignment horizontal="center"/>
      <protection locked="0"/>
    </xf>
    <xf numFmtId="0" fontId="1" fillId="17" borderId="15" xfId="12" applyFill="1" applyBorder="1" applyAlignment="1" applyProtection="1">
      <alignment horizontal="center"/>
      <protection locked="0"/>
    </xf>
    <xf numFmtId="0" fontId="1" fillId="17" borderId="40" xfId="12" applyFill="1" applyBorder="1" applyAlignment="1" applyProtection="1">
      <alignment horizontal="center" wrapText="1"/>
      <protection locked="0"/>
    </xf>
    <xf numFmtId="0" fontId="1" fillId="17" borderId="53" xfId="12" applyFill="1" applyBorder="1" applyAlignment="1" applyProtection="1">
      <alignment horizontal="center"/>
      <protection locked="0"/>
    </xf>
    <xf numFmtId="0" fontId="11" fillId="17" borderId="40" xfId="12" applyFont="1" applyFill="1" applyBorder="1" applyAlignment="1" applyProtection="1">
      <alignment horizontal="center" wrapText="1"/>
      <protection locked="0"/>
    </xf>
    <xf numFmtId="0" fontId="1" fillId="0" borderId="25" xfId="12" applyFill="1" applyBorder="1" applyAlignment="1">
      <alignment horizontal="center" vertical="center"/>
    </xf>
    <xf numFmtId="0" fontId="1" fillId="0" borderId="27" xfId="12" applyFill="1" applyBorder="1" applyAlignment="1">
      <alignment horizontal="center" vertical="center"/>
    </xf>
    <xf numFmtId="0" fontId="1" fillId="17" borderId="50" xfId="12" applyFill="1" applyBorder="1" applyAlignment="1" applyProtection="1">
      <alignment horizontal="center"/>
      <protection locked="0"/>
    </xf>
    <xf numFmtId="0" fontId="39" fillId="3" borderId="16" xfId="0" applyFont="1" applyFill="1" applyBorder="1" applyAlignment="1" applyProtection="1">
      <alignment horizontal="center" vertical="center"/>
      <protection locked="0"/>
    </xf>
    <xf numFmtId="0" fontId="50" fillId="5" borderId="8" xfId="0" applyFont="1" applyFill="1" applyBorder="1" applyAlignment="1" applyProtection="1">
      <alignment horizontal="center" vertical="center"/>
      <protection locked="0"/>
    </xf>
    <xf numFmtId="0" fontId="50" fillId="5" borderId="22" xfId="0" applyFont="1" applyFill="1" applyBorder="1" applyAlignment="1" applyProtection="1">
      <alignment horizontal="center" vertical="center"/>
      <protection locked="0"/>
    </xf>
    <xf numFmtId="0" fontId="50" fillId="5" borderId="50" xfId="0" applyFont="1" applyFill="1" applyBorder="1" applyAlignment="1" applyProtection="1">
      <alignment horizontal="center" vertical="center"/>
      <protection locked="0"/>
    </xf>
    <xf numFmtId="0" fontId="6" fillId="12" borderId="22" xfId="8" applyFont="1" applyFill="1" applyBorder="1" applyAlignment="1" applyProtection="1">
      <alignment horizontal="center" vertical="center" wrapText="1"/>
      <protection locked="0"/>
    </xf>
    <xf numFmtId="49" fontId="24" fillId="7" borderId="5" xfId="1" applyNumberFormat="1" applyFont="1" applyFill="1" applyBorder="1" applyAlignment="1" applyProtection="1">
      <alignment horizontal="center" vertical="center"/>
      <protection locked="0"/>
    </xf>
    <xf numFmtId="49" fontId="24" fillId="7" borderId="15" xfId="1" applyNumberFormat="1" applyFont="1" applyFill="1" applyBorder="1" applyAlignment="1" applyProtection="1">
      <alignment horizontal="center" vertical="center"/>
      <protection locked="0"/>
    </xf>
    <xf numFmtId="49" fontId="24" fillId="7" borderId="6" xfId="1" applyNumberFormat="1" applyFont="1" applyFill="1" applyBorder="1" applyAlignment="1" applyProtection="1">
      <alignment horizontal="center" vertical="center"/>
      <protection locked="0"/>
    </xf>
    <xf numFmtId="0" fontId="23" fillId="18" borderId="16" xfId="1" applyNumberFormat="1" applyFont="1" applyFill="1" applyBorder="1" applyAlignment="1" applyProtection="1">
      <alignment horizontal="center" vertical="center" wrapText="1"/>
      <protection locked="0"/>
    </xf>
    <xf numFmtId="0" fontId="25" fillId="18" borderId="16" xfId="7" applyFont="1" applyFill="1" applyBorder="1" applyAlignment="1" applyProtection="1">
      <protection locked="0"/>
    </xf>
    <xf numFmtId="49" fontId="23" fillId="26" borderId="21" xfId="1" applyNumberFormat="1" applyFont="1" applyFill="1" applyBorder="1" applyAlignment="1" applyProtection="1">
      <alignment horizontal="center" vertical="center"/>
      <protection locked="0"/>
    </xf>
    <xf numFmtId="49" fontId="23" fillId="26" borderId="16" xfId="1" applyNumberFormat="1" applyFont="1" applyFill="1" applyBorder="1" applyAlignment="1" applyProtection="1">
      <alignment horizontal="center" vertical="center"/>
      <protection locked="0"/>
    </xf>
    <xf numFmtId="49" fontId="23" fillId="26" borderId="16" xfId="1" applyNumberFormat="1" applyFont="1" applyFill="1" applyBorder="1" applyAlignment="1" applyProtection="1">
      <alignment horizontal="center" vertical="center" textRotation="255"/>
      <protection locked="0"/>
    </xf>
    <xf numFmtId="49" fontId="23" fillId="26" borderId="21" xfId="1" applyNumberFormat="1" applyFont="1" applyFill="1" applyBorder="1" applyAlignment="1" applyProtection="1">
      <alignment horizontal="center" vertical="center" textRotation="255"/>
      <protection locked="0"/>
    </xf>
    <xf numFmtId="49" fontId="23" fillId="26" borderId="16" xfId="1" applyNumberFormat="1" applyFont="1" applyFill="1" applyBorder="1" applyAlignment="1" applyProtection="1">
      <alignment horizontal="center" vertical="center" wrapText="1"/>
      <protection locked="0"/>
    </xf>
    <xf numFmtId="49" fontId="23" fillId="26" borderId="21" xfId="1" applyNumberFormat="1" applyFont="1" applyFill="1" applyBorder="1" applyAlignment="1" applyProtection="1">
      <alignment horizontal="center" vertical="center" wrapText="1"/>
      <protection locked="0"/>
    </xf>
    <xf numFmtId="49" fontId="29" fillId="26" borderId="16" xfId="1" applyNumberFormat="1" applyFont="1" applyFill="1" applyBorder="1" applyAlignment="1" applyProtection="1">
      <alignment horizontal="center" vertical="center" textRotation="255" wrapText="1"/>
      <protection locked="0"/>
    </xf>
    <xf numFmtId="0" fontId="29" fillId="26" borderId="21" xfId="7" applyFont="1" applyFill="1" applyBorder="1" applyAlignment="1" applyProtection="1">
      <protection locked="0"/>
    </xf>
    <xf numFmtId="0" fontId="23" fillId="26" borderId="16" xfId="1" applyFont="1" applyFill="1" applyBorder="1" applyAlignment="1" applyProtection="1">
      <alignment horizontal="center" vertical="center" wrapText="1"/>
      <protection locked="0"/>
    </xf>
    <xf numFmtId="0" fontId="23" fillId="26" borderId="21" xfId="1" applyFont="1" applyFill="1" applyBorder="1" applyAlignment="1" applyProtection="1">
      <alignment horizontal="center" vertical="center" wrapText="1"/>
      <protection locked="0"/>
    </xf>
    <xf numFmtId="49" fontId="30" fillId="26" borderId="21" xfId="1" applyNumberFormat="1" applyFont="1" applyFill="1" applyBorder="1" applyAlignment="1" applyProtection="1">
      <alignment horizontal="center" vertical="center" wrapText="1"/>
      <protection locked="0"/>
    </xf>
    <xf numFmtId="49" fontId="30" fillId="26" borderId="31" xfId="1" applyNumberFormat="1" applyFont="1" applyFill="1" applyBorder="1" applyAlignment="1" applyProtection="1">
      <alignment horizontal="center" vertical="center" wrapText="1"/>
      <protection locked="0"/>
    </xf>
    <xf numFmtId="49" fontId="30" fillId="26" borderId="3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49" fontId="14" fillId="7" borderId="5" xfId="1" applyNumberFormat="1" applyFont="1" applyFill="1" applyBorder="1" applyAlignment="1" applyProtection="1">
      <alignment horizontal="center" vertical="center"/>
      <protection locked="0"/>
    </xf>
    <xf numFmtId="49" fontId="14" fillId="7" borderId="15" xfId="1" applyNumberFormat="1" applyFont="1" applyFill="1" applyBorder="1" applyAlignment="1" applyProtection="1">
      <alignment horizontal="center" vertical="center"/>
      <protection locked="0"/>
    </xf>
    <xf numFmtId="49" fontId="14" fillId="7" borderId="6" xfId="1" applyNumberFormat="1" applyFont="1" applyFill="1" applyBorder="1" applyAlignment="1" applyProtection="1">
      <alignment horizontal="center" vertical="center"/>
      <protection locked="0"/>
    </xf>
    <xf numFmtId="0" fontId="20" fillId="24" borderId="8" xfId="2" applyFont="1" applyFill="1" applyBorder="1" applyAlignment="1" applyProtection="1">
      <alignment horizontal="center" vertical="center" wrapText="1"/>
      <protection locked="0"/>
    </xf>
    <xf numFmtId="0" fontId="20" fillId="24" borderId="1" xfId="2" applyFont="1" applyFill="1" applyBorder="1" applyAlignment="1" applyProtection="1">
      <alignment horizontal="center" vertical="center" wrapText="1"/>
      <protection locked="0"/>
    </xf>
    <xf numFmtId="0" fontId="20" fillId="24" borderId="30" xfId="2" applyFont="1" applyFill="1" applyBorder="1" applyAlignment="1" applyProtection="1">
      <alignment horizontal="center" vertical="center" wrapText="1"/>
      <protection locked="0"/>
    </xf>
    <xf numFmtId="0" fontId="20" fillId="24" borderId="16" xfId="2" applyFont="1" applyFill="1" applyBorder="1" applyAlignment="1" applyProtection="1">
      <alignment horizontal="center" vertical="center" wrapText="1"/>
      <protection locked="0"/>
    </xf>
    <xf numFmtId="0" fontId="20" fillId="24" borderId="1" xfId="2" applyFont="1" applyFill="1" applyBorder="1" applyAlignment="1">
      <alignment horizontal="center" vertical="center" wrapText="1"/>
    </xf>
    <xf numFmtId="0" fontId="20" fillId="24" borderId="30" xfId="2" applyFont="1" applyFill="1" applyBorder="1" applyAlignment="1">
      <alignment horizontal="center" vertical="center" wrapText="1"/>
    </xf>
    <xf numFmtId="49" fontId="15" fillId="18" borderId="16" xfId="1" applyNumberFormat="1" applyFont="1" applyFill="1" applyBorder="1" applyAlignment="1" applyProtection="1">
      <alignment horizontal="center" vertical="center" wrapText="1"/>
      <protection locked="0"/>
    </xf>
    <xf numFmtId="49" fontId="15" fillId="18" borderId="18" xfId="1" applyNumberFormat="1" applyFont="1" applyFill="1" applyBorder="1" applyAlignment="1" applyProtection="1">
      <alignment horizontal="center" vertical="center" wrapText="1"/>
      <protection locked="0"/>
    </xf>
    <xf numFmtId="49" fontId="16" fillId="18" borderId="52" xfId="1" applyNumberFormat="1" applyFont="1" applyFill="1" applyBorder="1" applyAlignment="1" applyProtection="1">
      <alignment horizontal="center" vertical="center" textRotation="255"/>
      <protection locked="0"/>
    </xf>
    <xf numFmtId="49" fontId="16" fillId="18" borderId="21" xfId="1" applyNumberFormat="1" applyFont="1" applyFill="1" applyBorder="1" applyAlignment="1" applyProtection="1">
      <alignment horizontal="center" vertical="center" textRotation="255"/>
      <protection locked="0"/>
    </xf>
    <xf numFmtId="0" fontId="21" fillId="18" borderId="23" xfId="2" applyFont="1" applyFill="1" applyBorder="1" applyAlignment="1" applyProtection="1">
      <alignment horizontal="center" vertical="center" textRotation="255" wrapText="1"/>
      <protection locked="0"/>
    </xf>
    <xf numFmtId="0" fontId="21" fillId="18" borderId="21" xfId="2" applyFont="1" applyFill="1" applyBorder="1" applyAlignment="1" applyProtection="1">
      <alignment horizontal="center" vertical="center" textRotation="255" wrapText="1"/>
      <protection locked="0"/>
    </xf>
    <xf numFmtId="0" fontId="21" fillId="18" borderId="16" xfId="2" applyFont="1" applyFill="1" applyBorder="1" applyAlignment="1" applyProtection="1">
      <alignment horizontal="center" vertical="center" textRotation="255" wrapText="1"/>
      <protection locked="0"/>
    </xf>
    <xf numFmtId="0" fontId="21" fillId="18" borderId="31" xfId="2" applyFont="1" applyFill="1" applyBorder="1" applyAlignment="1" applyProtection="1">
      <alignment horizontal="center" vertical="center" textRotation="255" wrapText="1"/>
      <protection locked="0"/>
    </xf>
    <xf numFmtId="0" fontId="1" fillId="0" borderId="1" xfId="12" applyBorder="1" applyAlignment="1">
      <alignment horizontal="center" vertical="center"/>
    </xf>
    <xf numFmtId="0" fontId="1" fillId="0" borderId="2" xfId="12" applyBorder="1" applyAlignment="1">
      <alignment horizontal="center" vertical="center"/>
    </xf>
    <xf numFmtId="0" fontId="1" fillId="0" borderId="3" xfId="12" applyBorder="1" applyAlignment="1">
      <alignment horizontal="center" vertical="center"/>
    </xf>
  </cellXfs>
  <cellStyles count="15">
    <cellStyle name="Good" xfId="3" builtinId="26"/>
    <cellStyle name="Normal" xfId="0" builtinId="0"/>
    <cellStyle name="Normal 2" xfId="5"/>
    <cellStyle name="Normal 2 2" xfId="9"/>
    <cellStyle name="Normal 2 3" xfId="10"/>
    <cellStyle name="Normal 2 4" xfId="4"/>
    <cellStyle name="Normal 3" xfId="7"/>
    <cellStyle name="Normal 4" xfId="2"/>
    <cellStyle name="Normal_Sheet1" xfId="1"/>
    <cellStyle name="Normal_Sheet2" xfId="8"/>
    <cellStyle name="표준 2" xfId="11"/>
    <cellStyle name="표준 3" xfId="12"/>
    <cellStyle name="표준 4" xfId="13"/>
    <cellStyle name="표준 5" xfId="14"/>
    <cellStyle name="一般" xfId="6"/>
  </cellStyles>
  <dxfs count="0"/>
  <tableStyles count="0" defaultTableStyle="TableStyleMedium2"/>
  <colors>
    <mruColors>
      <color rgb="FFFFFF00"/>
      <color rgb="FFFE85F6"/>
      <color rgb="FFFE8AF8"/>
      <color rgb="FF928599"/>
      <color rgb="FFC46FDD"/>
      <color rgb="FFF578E1"/>
      <color rgb="FF8B5DB5"/>
      <color rgb="FFFD11F5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indexed="20"/>
  </sheetPr>
  <dimension ref="A1:AR308"/>
  <sheetViews>
    <sheetView zoomScaleNormal="100" workbookViewId="0">
      <pane xSplit="14" ySplit="3" topLeftCell="O182" activePane="bottomRight" state="frozen"/>
      <selection sqref="A1:N305"/>
      <selection pane="topRight" sqref="A1:N305"/>
      <selection pane="bottomLeft" sqref="A1:N305"/>
      <selection pane="bottomRight" activeCell="N125" sqref="N125"/>
    </sheetView>
  </sheetViews>
  <sheetFormatPr defaultColWidth="9" defaultRowHeight="15"/>
  <cols>
    <col min="1" max="1" width="6" customWidth="1"/>
    <col min="2" max="2" width="13.28515625" customWidth="1"/>
    <col min="3" max="4" width="3.85546875" customWidth="1"/>
    <col min="5" max="5" width="11.140625" customWidth="1"/>
    <col min="6" max="12" width="10.7109375" customWidth="1"/>
    <col min="13" max="13" width="11" customWidth="1"/>
    <col min="14" max="14" width="10.7109375" customWidth="1"/>
    <col min="15" max="15" width="2.85546875" style="30" customWidth="1"/>
    <col min="16" max="17" width="11.140625" customWidth="1"/>
    <col min="18" max="18" width="2.42578125" customWidth="1"/>
    <col min="20" max="20" width="16.7109375" customWidth="1"/>
  </cols>
  <sheetData>
    <row r="1" spans="1:44" ht="27" thickBot="1">
      <c r="A1" s="499" t="s">
        <v>1752</v>
      </c>
      <c r="B1" s="500"/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501"/>
      <c r="O1" s="231"/>
      <c r="P1" s="231"/>
      <c r="Q1" s="231"/>
    </row>
    <row r="2" spans="1:44" ht="21.75" customHeight="1" thickBot="1">
      <c r="A2" s="539" t="s">
        <v>0</v>
      </c>
      <c r="B2" s="209" t="s">
        <v>1</v>
      </c>
      <c r="C2" s="564" t="s">
        <v>2</v>
      </c>
      <c r="D2" s="564" t="s">
        <v>3</v>
      </c>
      <c r="E2" s="210" t="s">
        <v>4</v>
      </c>
      <c r="F2" s="210" t="s">
        <v>5</v>
      </c>
      <c r="G2" s="210" t="s">
        <v>6</v>
      </c>
      <c r="H2" s="210" t="s">
        <v>7</v>
      </c>
      <c r="I2" s="232" t="s">
        <v>8</v>
      </c>
      <c r="J2" s="210" t="s">
        <v>9</v>
      </c>
      <c r="K2" s="210" t="s">
        <v>10</v>
      </c>
      <c r="L2" s="210" t="s">
        <v>11</v>
      </c>
      <c r="M2" s="210" t="s">
        <v>12</v>
      </c>
      <c r="N2" s="233" t="s">
        <v>13</v>
      </c>
      <c r="O2" s="234"/>
      <c r="P2" s="235" t="s">
        <v>14</v>
      </c>
      <c r="Q2" s="407" t="s">
        <v>15</v>
      </c>
      <c r="S2" s="502" t="s">
        <v>16</v>
      </c>
      <c r="T2" s="502"/>
    </row>
    <row r="3" spans="1:44" ht="15.75" thickBot="1">
      <c r="A3" s="540"/>
      <c r="B3" s="211" t="s">
        <v>17</v>
      </c>
      <c r="C3" s="565"/>
      <c r="D3" s="565"/>
      <c r="E3" s="33" t="s">
        <v>18</v>
      </c>
      <c r="F3" s="33" t="s">
        <v>19</v>
      </c>
      <c r="G3" s="33" t="s">
        <v>20</v>
      </c>
      <c r="H3" s="33" t="s">
        <v>21</v>
      </c>
      <c r="I3" s="33" t="s">
        <v>22</v>
      </c>
      <c r="J3" s="33" t="s">
        <v>23</v>
      </c>
      <c r="K3" s="33" t="s">
        <v>24</v>
      </c>
      <c r="L3" s="33" t="s">
        <v>25</v>
      </c>
      <c r="M3" s="33" t="s">
        <v>26</v>
      </c>
      <c r="N3" s="75" t="s">
        <v>27</v>
      </c>
      <c r="O3" s="236"/>
      <c r="P3" s="235" t="s">
        <v>28</v>
      </c>
      <c r="Q3" s="407" t="s">
        <v>29</v>
      </c>
      <c r="S3" s="1"/>
      <c r="T3" s="251" t="s">
        <v>30</v>
      </c>
      <c r="V3" s="503" t="s">
        <v>31</v>
      </c>
      <c r="W3" s="503"/>
      <c r="X3" s="503"/>
      <c r="Y3" s="503"/>
      <c r="Z3" s="503"/>
      <c r="AA3" s="503"/>
      <c r="AB3" s="503"/>
      <c r="AC3" s="264"/>
      <c r="AD3" s="503" t="s">
        <v>31</v>
      </c>
      <c r="AE3" s="503"/>
      <c r="AF3" s="503"/>
      <c r="AG3" s="503"/>
      <c r="AH3" s="503"/>
      <c r="AI3" s="503"/>
      <c r="AJ3" s="503"/>
      <c r="AK3" s="264"/>
      <c r="AL3" s="503" t="s">
        <v>31</v>
      </c>
      <c r="AM3" s="503"/>
      <c r="AN3" s="503"/>
      <c r="AO3" s="503"/>
      <c r="AP3" s="503"/>
      <c r="AQ3" s="503"/>
      <c r="AR3" s="503"/>
    </row>
    <row r="4" spans="1:44" ht="14.1" customHeight="1">
      <c r="A4" s="513" t="s">
        <v>32</v>
      </c>
      <c r="B4" s="546" t="s">
        <v>33</v>
      </c>
      <c r="C4" s="560"/>
      <c r="D4" s="567"/>
      <c r="E4" s="362" t="s">
        <v>34</v>
      </c>
      <c r="F4" s="214" t="s">
        <v>35</v>
      </c>
      <c r="G4" s="214" t="s">
        <v>34</v>
      </c>
      <c r="H4" s="214" t="s">
        <v>34</v>
      </c>
      <c r="I4" s="214" t="s">
        <v>35</v>
      </c>
      <c r="J4" s="214" t="s">
        <v>35</v>
      </c>
      <c r="K4" s="214" t="s">
        <v>35</v>
      </c>
      <c r="L4" s="214" t="s">
        <v>35</v>
      </c>
      <c r="M4" s="237" t="s">
        <v>36</v>
      </c>
      <c r="N4" s="238" t="s">
        <v>36</v>
      </c>
      <c r="O4" s="352"/>
      <c r="P4" s="417"/>
      <c r="Q4" s="418"/>
      <c r="R4" s="102"/>
      <c r="S4" s="5"/>
      <c r="T4" s="252" t="s">
        <v>37</v>
      </c>
      <c r="V4" s="253" t="s">
        <v>38</v>
      </c>
      <c r="W4" s="253" t="s">
        <v>35</v>
      </c>
      <c r="X4" s="253" t="s">
        <v>39</v>
      </c>
      <c r="Y4" s="275" t="s">
        <v>34</v>
      </c>
      <c r="Z4" s="275" t="s">
        <v>36</v>
      </c>
      <c r="AA4" s="275" t="s">
        <v>40</v>
      </c>
      <c r="AB4" s="275" t="s">
        <v>41</v>
      </c>
      <c r="AC4" s="264"/>
      <c r="AD4" s="253" t="s">
        <v>38</v>
      </c>
      <c r="AE4" s="253" t="s">
        <v>35</v>
      </c>
      <c r="AF4" s="253" t="s">
        <v>39</v>
      </c>
      <c r="AG4" s="275" t="s">
        <v>34</v>
      </c>
      <c r="AH4" s="275" t="s">
        <v>36</v>
      </c>
      <c r="AI4" s="275" t="s">
        <v>40</v>
      </c>
      <c r="AJ4" s="275" t="s">
        <v>41</v>
      </c>
      <c r="AK4" s="264"/>
      <c r="AL4" s="253" t="s">
        <v>38</v>
      </c>
      <c r="AM4" s="276" t="s">
        <v>35</v>
      </c>
      <c r="AN4" s="276" t="s">
        <v>39</v>
      </c>
      <c r="AO4" s="275" t="s">
        <v>34</v>
      </c>
      <c r="AP4" s="275" t="s">
        <v>36</v>
      </c>
      <c r="AQ4" s="275" t="s">
        <v>40</v>
      </c>
      <c r="AR4" s="275" t="s">
        <v>41</v>
      </c>
    </row>
    <row r="5" spans="1:44" ht="30" customHeight="1">
      <c r="A5" s="513"/>
      <c r="B5" s="546"/>
      <c r="C5" s="560"/>
      <c r="D5" s="567"/>
      <c r="E5" s="56" t="s">
        <v>42</v>
      </c>
      <c r="F5" s="38" t="s">
        <v>1478</v>
      </c>
      <c r="G5" s="57" t="s">
        <v>1479</v>
      </c>
      <c r="H5" s="57" t="s">
        <v>1480</v>
      </c>
      <c r="I5" s="38" t="s">
        <v>1481</v>
      </c>
      <c r="J5" s="456" t="s">
        <v>1482</v>
      </c>
      <c r="K5" s="38" t="s">
        <v>1483</v>
      </c>
      <c r="L5" s="38" t="s">
        <v>1484</v>
      </c>
      <c r="M5" s="220" t="s">
        <v>46</v>
      </c>
      <c r="N5" s="239" t="s">
        <v>46</v>
      </c>
      <c r="O5" s="408"/>
      <c r="P5" s="419" t="s">
        <v>171</v>
      </c>
      <c r="Q5" s="395" t="s">
        <v>864</v>
      </c>
      <c r="R5" s="102"/>
      <c r="S5" s="9"/>
      <c r="T5" s="254" t="s">
        <v>49</v>
      </c>
      <c r="V5" s="255" t="s">
        <v>50</v>
      </c>
      <c r="W5" s="256">
        <f t="shared" ref="W5:AB5" si="0">COUNTIF($E4:$N4,W4)</f>
        <v>5</v>
      </c>
      <c r="X5" s="256">
        <f t="shared" si="0"/>
        <v>0</v>
      </c>
      <c r="Y5" s="256">
        <f t="shared" si="0"/>
        <v>3</v>
      </c>
      <c r="Z5" s="256">
        <f t="shared" si="0"/>
        <v>2</v>
      </c>
      <c r="AA5" s="256">
        <f t="shared" si="0"/>
        <v>0</v>
      </c>
      <c r="AB5" s="256">
        <f t="shared" si="0"/>
        <v>0</v>
      </c>
      <c r="AC5" s="264"/>
      <c r="AD5" s="255" t="s">
        <v>50</v>
      </c>
      <c r="AE5" s="256" t="e">
        <f ca="1">colorcount($E5:$N5,$S$3)+colorcount($E5:$N5,$S$4)+colorcount($E5:$N5,$S$5)+colorcount($E5:$N5,$S$6)+colorcount($E5:$N5,$S$7)+colorcount($E5:$N5,$S$9)+colorcount($E5:$N5,$S$10)+colorcount($E5:$N5,$S$11)+colorcount($E5:$N5,$S$12)</f>
        <v>#NAME?</v>
      </c>
      <c r="AF5" s="256" t="e">
        <f ca="1">colorcount($E5:$N5,$S$15)</f>
        <v>#NAME?</v>
      </c>
      <c r="AG5" s="256" t="e">
        <f ca="1">colorcount($E5:$N5,$S$17)+colorcount($E5:$N5,$S$18)+colorcount($E5:$N5,$S$19)+colorcount($E5:$N5,$S$20)+colorcount($E5:$N5,$S$21)</f>
        <v>#NAME?</v>
      </c>
      <c r="AH5" s="256" t="e">
        <f ca="1">colorcount($E5:$N5,$S$23)</f>
        <v>#NAME?</v>
      </c>
      <c r="AI5" s="256" t="e">
        <f ca="1">colorcount($E5:$N5,$S$26)</f>
        <v>#NAME?</v>
      </c>
      <c r="AJ5" s="256" t="e">
        <f ca="1">colorcount($E5:$N5,$S$28)</f>
        <v>#NAME?</v>
      </c>
      <c r="AK5" s="264"/>
      <c r="AL5" s="255" t="s">
        <v>50</v>
      </c>
      <c r="AM5" s="277" t="e">
        <f t="shared" ref="AM5:AR5" ca="1" si="1">IF(W5=AE5,"O","X")</f>
        <v>#NAME?</v>
      </c>
      <c r="AN5" s="277" t="e">
        <f t="shared" ca="1" si="1"/>
        <v>#NAME?</v>
      </c>
      <c r="AO5" s="277" t="e">
        <f t="shared" ca="1" si="1"/>
        <v>#NAME?</v>
      </c>
      <c r="AP5" s="277" t="e">
        <f t="shared" ca="1" si="1"/>
        <v>#NAME?</v>
      </c>
      <c r="AQ5" s="277" t="e">
        <f t="shared" ca="1" si="1"/>
        <v>#NAME?</v>
      </c>
      <c r="AR5" s="277" t="e">
        <f t="shared" ca="1" si="1"/>
        <v>#NAME?</v>
      </c>
    </row>
    <row r="6" spans="1:44" ht="14.1" customHeight="1">
      <c r="A6" s="513" t="s">
        <v>51</v>
      </c>
      <c r="B6" s="546" t="s">
        <v>52</v>
      </c>
      <c r="C6" s="560"/>
      <c r="D6" s="567"/>
      <c r="E6" s="363" t="s">
        <v>35</v>
      </c>
      <c r="F6" s="215" t="s">
        <v>34</v>
      </c>
      <c r="G6" s="215" t="s">
        <v>34</v>
      </c>
      <c r="H6" s="215" t="s">
        <v>34</v>
      </c>
      <c r="I6" s="215" t="s">
        <v>39</v>
      </c>
      <c r="J6" s="215" t="s">
        <v>39</v>
      </c>
      <c r="K6" s="215" t="s">
        <v>34</v>
      </c>
      <c r="L6" s="215" t="s">
        <v>35</v>
      </c>
      <c r="M6" s="240" t="s">
        <v>39</v>
      </c>
      <c r="N6" s="241" t="s">
        <v>35</v>
      </c>
      <c r="O6" s="409"/>
      <c r="P6" s="421"/>
      <c r="Q6" s="356"/>
      <c r="R6" s="102"/>
      <c r="S6" s="11"/>
      <c r="T6" s="254" t="s">
        <v>53</v>
      </c>
      <c r="V6" s="253" t="s">
        <v>38</v>
      </c>
      <c r="W6" s="253" t="s">
        <v>35</v>
      </c>
      <c r="X6" s="253" t="s">
        <v>39</v>
      </c>
      <c r="Y6" s="275" t="s">
        <v>34</v>
      </c>
      <c r="Z6" s="275" t="s">
        <v>36</v>
      </c>
      <c r="AA6" s="275" t="s">
        <v>40</v>
      </c>
      <c r="AB6" s="275" t="s">
        <v>41</v>
      </c>
      <c r="AC6" s="264"/>
      <c r="AD6" s="253" t="s">
        <v>38</v>
      </c>
      <c r="AE6" s="253" t="s">
        <v>35</v>
      </c>
      <c r="AF6" s="253" t="s">
        <v>39</v>
      </c>
      <c r="AG6" s="275" t="s">
        <v>34</v>
      </c>
      <c r="AH6" s="275" t="s">
        <v>36</v>
      </c>
      <c r="AI6" s="275" t="s">
        <v>40</v>
      </c>
      <c r="AJ6" s="275" t="s">
        <v>41</v>
      </c>
      <c r="AK6" s="264"/>
      <c r="AL6" s="253" t="s">
        <v>38</v>
      </c>
      <c r="AM6" s="276" t="s">
        <v>35</v>
      </c>
      <c r="AN6" s="276" t="s">
        <v>39</v>
      </c>
      <c r="AO6" s="275" t="s">
        <v>34</v>
      </c>
      <c r="AP6" s="275" t="s">
        <v>36</v>
      </c>
      <c r="AQ6" s="275" t="s">
        <v>40</v>
      </c>
      <c r="AR6" s="275" t="s">
        <v>41</v>
      </c>
    </row>
    <row r="7" spans="1:44" ht="30" customHeight="1">
      <c r="A7" s="513"/>
      <c r="B7" s="546"/>
      <c r="C7" s="560"/>
      <c r="D7" s="567"/>
      <c r="E7" s="37" t="s">
        <v>54</v>
      </c>
      <c r="F7" s="60" t="s">
        <v>55</v>
      </c>
      <c r="G7" s="57" t="s">
        <v>56</v>
      </c>
      <c r="H7" s="57" t="s">
        <v>57</v>
      </c>
      <c r="I7" s="221" t="s">
        <v>58</v>
      </c>
      <c r="J7" s="221" t="s">
        <v>59</v>
      </c>
      <c r="K7" s="57" t="s">
        <v>60</v>
      </c>
      <c r="L7" s="38" t="s">
        <v>61</v>
      </c>
      <c r="M7" s="221" t="s">
        <v>58</v>
      </c>
      <c r="N7" s="77" t="s">
        <v>62</v>
      </c>
      <c r="O7" s="410"/>
      <c r="P7" s="422" t="s">
        <v>126</v>
      </c>
      <c r="Q7" s="395" t="s">
        <v>864</v>
      </c>
      <c r="R7" s="102"/>
      <c r="S7" s="12"/>
      <c r="T7" s="257" t="s">
        <v>64</v>
      </c>
      <c r="V7" s="255" t="s">
        <v>52</v>
      </c>
      <c r="W7" s="256">
        <f t="shared" ref="W7:AB7" si="2">COUNTIF($E6:$N6,W6)</f>
        <v>3</v>
      </c>
      <c r="X7" s="256">
        <f t="shared" si="2"/>
        <v>3</v>
      </c>
      <c r="Y7" s="256">
        <f t="shared" si="2"/>
        <v>4</v>
      </c>
      <c r="Z7" s="256">
        <f t="shared" si="2"/>
        <v>0</v>
      </c>
      <c r="AA7" s="256">
        <f t="shared" si="2"/>
        <v>0</v>
      </c>
      <c r="AB7" s="256">
        <f t="shared" si="2"/>
        <v>0</v>
      </c>
      <c r="AC7" s="264"/>
      <c r="AD7" s="255" t="s">
        <v>52</v>
      </c>
      <c r="AE7" s="256" t="e">
        <f ca="1">colorcount($E7:$N7,$S$3)+colorcount($E7:$N7,$S$4)+colorcount($E7:$N7,$S$5)+colorcount($E7:$N7,$S$6)+colorcount($E7:$N7,$S$7)+colorcount($E7:$N7,$S$9)+colorcount($E7:$N7,$S$10)+colorcount($E7:$N7,$S$11)+colorcount($E7:$N7,$S$12)</f>
        <v>#NAME?</v>
      </c>
      <c r="AF7" s="256" t="e">
        <f ca="1">colorcount($E7:$N7,$S$15)</f>
        <v>#NAME?</v>
      </c>
      <c r="AG7" s="256" t="e">
        <f ca="1">colorcount($E7:$N7,$S$17)+colorcount($E7:$N7,$S$18)+colorcount($E7:$N7,$S$19)+colorcount($E7:$N7,$S$20)+colorcount($E7:$N7,$S$21)</f>
        <v>#NAME?</v>
      </c>
      <c r="AH7" s="256" t="e">
        <f ca="1">colorcount($E7:$N7,$S$23)</f>
        <v>#NAME?</v>
      </c>
      <c r="AI7" s="256" t="e">
        <f ca="1">colorcount($E7:$N7,$S$26)</f>
        <v>#NAME?</v>
      </c>
      <c r="AJ7" s="256" t="e">
        <f ca="1">colorcount($E7:$N7,$S$28)</f>
        <v>#NAME?</v>
      </c>
      <c r="AK7" s="264"/>
      <c r="AL7" s="255" t="s">
        <v>52</v>
      </c>
      <c r="AM7" s="277" t="e">
        <f t="shared" ref="AM7:AR7" ca="1" si="3">IF(W7=AE7,"O","X")</f>
        <v>#NAME?</v>
      </c>
      <c r="AN7" s="277" t="e">
        <f t="shared" ca="1" si="3"/>
        <v>#NAME?</v>
      </c>
      <c r="AO7" s="277" t="e">
        <f t="shared" ca="1" si="3"/>
        <v>#NAME?</v>
      </c>
      <c r="AP7" s="277" t="e">
        <f t="shared" ca="1" si="3"/>
        <v>#NAME?</v>
      </c>
      <c r="AQ7" s="277" t="e">
        <f t="shared" ca="1" si="3"/>
        <v>#NAME?</v>
      </c>
      <c r="AR7" s="277" t="e">
        <f t="shared" ca="1" si="3"/>
        <v>#NAME?</v>
      </c>
    </row>
    <row r="8" spans="1:44" ht="30" customHeight="1">
      <c r="A8" s="212"/>
      <c r="B8" s="216" t="s">
        <v>65</v>
      </c>
      <c r="C8" s="213"/>
      <c r="D8" s="360"/>
      <c r="E8" s="364" t="s">
        <v>48</v>
      </c>
      <c r="F8" s="217" t="s">
        <v>48</v>
      </c>
      <c r="G8" s="217" t="s">
        <v>48</v>
      </c>
      <c r="H8" s="217" t="s">
        <v>48</v>
      </c>
      <c r="I8" s="46" t="s">
        <v>1757</v>
      </c>
      <c r="J8" s="456" t="s">
        <v>66</v>
      </c>
      <c r="K8" s="217" t="s">
        <v>48</v>
      </c>
      <c r="L8" s="217" t="s">
        <v>48</v>
      </c>
      <c r="M8" s="217" t="s">
        <v>48</v>
      </c>
      <c r="N8" s="242" t="s">
        <v>48</v>
      </c>
      <c r="O8" s="410"/>
      <c r="P8" s="353"/>
      <c r="Q8" s="356"/>
      <c r="R8" s="102"/>
      <c r="S8" s="12"/>
      <c r="T8" s="257"/>
      <c r="V8" s="255"/>
      <c r="W8" s="256"/>
      <c r="X8" s="256"/>
      <c r="Y8" s="256"/>
      <c r="Z8" s="256"/>
      <c r="AA8" s="256"/>
      <c r="AB8" s="256"/>
      <c r="AC8" s="264"/>
      <c r="AD8" s="255"/>
      <c r="AE8" s="256"/>
      <c r="AF8" s="256"/>
      <c r="AG8" s="256"/>
      <c r="AH8" s="256"/>
      <c r="AI8" s="256"/>
      <c r="AJ8" s="256"/>
      <c r="AK8" s="264"/>
      <c r="AL8" s="255"/>
      <c r="AM8" s="277"/>
      <c r="AN8" s="277"/>
      <c r="AO8" s="277"/>
      <c r="AP8" s="277"/>
      <c r="AQ8" s="277"/>
      <c r="AR8" s="277"/>
    </row>
    <row r="9" spans="1:44" ht="14.1" customHeight="1">
      <c r="A9" s="513" t="s">
        <v>67</v>
      </c>
      <c r="B9" s="546" t="s">
        <v>1731</v>
      </c>
      <c r="C9" s="560"/>
      <c r="D9" s="567"/>
      <c r="E9" s="363" t="s">
        <v>35</v>
      </c>
      <c r="F9" s="215" t="s">
        <v>35</v>
      </c>
      <c r="G9" s="215" t="s">
        <v>35</v>
      </c>
      <c r="H9" s="215" t="s">
        <v>35</v>
      </c>
      <c r="I9" s="215" t="s">
        <v>35</v>
      </c>
      <c r="J9" s="215" t="s">
        <v>35</v>
      </c>
      <c r="K9" s="215" t="s">
        <v>35</v>
      </c>
      <c r="L9" s="215" t="s">
        <v>35</v>
      </c>
      <c r="M9" s="215" t="s">
        <v>35</v>
      </c>
      <c r="N9" s="158"/>
      <c r="O9" s="352"/>
      <c r="P9" s="353"/>
      <c r="Q9" s="356"/>
      <c r="R9" s="102"/>
      <c r="S9" s="14"/>
      <c r="T9" s="257" t="s">
        <v>69</v>
      </c>
      <c r="V9" s="253" t="s">
        <v>38</v>
      </c>
      <c r="W9" s="253" t="s">
        <v>35</v>
      </c>
      <c r="X9" s="253" t="s">
        <v>39</v>
      </c>
      <c r="Y9" s="275" t="s">
        <v>34</v>
      </c>
      <c r="Z9" s="275" t="s">
        <v>36</v>
      </c>
      <c r="AA9" s="275" t="s">
        <v>40</v>
      </c>
      <c r="AB9" s="275" t="s">
        <v>41</v>
      </c>
      <c r="AC9" s="264"/>
      <c r="AD9" s="253" t="s">
        <v>38</v>
      </c>
      <c r="AE9" s="253" t="s">
        <v>35</v>
      </c>
      <c r="AF9" s="253" t="s">
        <v>39</v>
      </c>
      <c r="AG9" s="275" t="s">
        <v>34</v>
      </c>
      <c r="AH9" s="275" t="s">
        <v>36</v>
      </c>
      <c r="AI9" s="275" t="s">
        <v>40</v>
      </c>
      <c r="AJ9" s="275" t="s">
        <v>41</v>
      </c>
      <c r="AK9" s="264"/>
      <c r="AL9" s="253" t="s">
        <v>38</v>
      </c>
      <c r="AM9" s="276" t="s">
        <v>35</v>
      </c>
      <c r="AN9" s="276" t="s">
        <v>39</v>
      </c>
      <c r="AO9" s="275" t="s">
        <v>34</v>
      </c>
      <c r="AP9" s="275" t="s">
        <v>36</v>
      </c>
      <c r="AQ9" s="275" t="s">
        <v>40</v>
      </c>
      <c r="AR9" s="275" t="s">
        <v>41</v>
      </c>
    </row>
    <row r="10" spans="1:44" ht="30" customHeight="1" thickBot="1">
      <c r="A10" s="513"/>
      <c r="B10" s="546"/>
      <c r="C10" s="560"/>
      <c r="D10" s="567"/>
      <c r="E10" s="51" t="s">
        <v>1722</v>
      </c>
      <c r="F10" s="46" t="s">
        <v>1707</v>
      </c>
      <c r="G10" s="46" t="s">
        <v>1714</v>
      </c>
      <c r="H10" s="46" t="s">
        <v>1724</v>
      </c>
      <c r="I10" s="46" t="s">
        <v>1709</v>
      </c>
      <c r="J10" s="46" t="s">
        <v>1719</v>
      </c>
      <c r="K10" s="46" t="s">
        <v>1758</v>
      </c>
      <c r="L10" s="46" t="s">
        <v>1726</v>
      </c>
      <c r="M10" s="46" t="s">
        <v>1728</v>
      </c>
      <c r="N10" s="242" t="s">
        <v>48</v>
      </c>
      <c r="O10" s="408"/>
      <c r="P10" s="422" t="s">
        <v>195</v>
      </c>
      <c r="Q10" s="395" t="s">
        <v>864</v>
      </c>
      <c r="R10" s="102"/>
      <c r="S10" s="258"/>
      <c r="T10" s="259" t="s">
        <v>71</v>
      </c>
      <c r="V10" s="255" t="s">
        <v>68</v>
      </c>
      <c r="W10" s="256">
        <f t="shared" ref="W10:AB10" si="4">COUNTIF($E9:$M9,W9)</f>
        <v>9</v>
      </c>
      <c r="X10" s="256">
        <f t="shared" si="4"/>
        <v>0</v>
      </c>
      <c r="Y10" s="256">
        <f t="shared" si="4"/>
        <v>0</v>
      </c>
      <c r="Z10" s="256">
        <f t="shared" si="4"/>
        <v>0</v>
      </c>
      <c r="AA10" s="256">
        <f t="shared" si="4"/>
        <v>0</v>
      </c>
      <c r="AB10" s="256">
        <f t="shared" si="4"/>
        <v>0</v>
      </c>
      <c r="AC10" s="264"/>
      <c r="AD10" s="255" t="s">
        <v>68</v>
      </c>
      <c r="AE10" s="256" t="e">
        <f ca="1">colorcount($E10:$M10,$S$3)+colorcount($E10:$M10,$S$4)+colorcount($E10:$M10,$S$5)+colorcount($E10:$M10,$S$6)+colorcount($E10:$M10,$S$7)+colorcount($E10:$M10,$S$9)+colorcount($E10:$M10,$S$10)+colorcount($E10:$M10,$S$11)+colorcount($E10:$M10,$S$12)</f>
        <v>#NAME?</v>
      </c>
      <c r="AF10" s="256" t="e">
        <f ca="1">colorcount($E10:$M10,$S$15)</f>
        <v>#NAME?</v>
      </c>
      <c r="AG10" s="256" t="e">
        <f ca="1">colorcount($E10:$M10,$S$17)+colorcount($E10:$M10,$S$18)+colorcount($E10:$M10,$S$19)+colorcount($E10:$M10,$S$20)+colorcount($E10:$M10,$S$21)</f>
        <v>#NAME?</v>
      </c>
      <c r="AH10" s="256" t="e">
        <f ca="1">colorcount($E10:$M10,$S$23)</f>
        <v>#NAME?</v>
      </c>
      <c r="AI10" s="256" t="e">
        <f ca="1">colorcount($E10:$M10,$S$26)</f>
        <v>#NAME?</v>
      </c>
      <c r="AJ10" s="256" t="e">
        <f ca="1">colorcount($E10:$M10,$S$28)</f>
        <v>#NAME?</v>
      </c>
      <c r="AK10" s="264"/>
      <c r="AL10" s="255" t="s">
        <v>68</v>
      </c>
      <c r="AM10" s="277" t="e">
        <f t="shared" ref="AM10:AR10" ca="1" si="5">IF(W10=AE10,"O","X")</f>
        <v>#NAME?</v>
      </c>
      <c r="AN10" s="277" t="e">
        <f t="shared" ca="1" si="5"/>
        <v>#NAME?</v>
      </c>
      <c r="AO10" s="277" t="e">
        <f t="shared" ca="1" si="5"/>
        <v>#NAME?</v>
      </c>
      <c r="AP10" s="277" t="e">
        <f t="shared" ca="1" si="5"/>
        <v>#NAME?</v>
      </c>
      <c r="AQ10" s="277" t="e">
        <f t="shared" ca="1" si="5"/>
        <v>#NAME?</v>
      </c>
      <c r="AR10" s="277" t="e">
        <f t="shared" ca="1" si="5"/>
        <v>#NAME?</v>
      </c>
    </row>
    <row r="11" spans="1:44" ht="14.1" customHeight="1">
      <c r="A11" s="513" t="s">
        <v>72</v>
      </c>
      <c r="B11" s="546" t="s">
        <v>73</v>
      </c>
      <c r="C11" s="560"/>
      <c r="D11" s="567"/>
      <c r="E11" s="363" t="s">
        <v>34</v>
      </c>
      <c r="F11" s="219" t="s">
        <v>35</v>
      </c>
      <c r="G11" s="218" t="s">
        <v>36</v>
      </c>
      <c r="H11" s="219" t="s">
        <v>35</v>
      </c>
      <c r="I11" s="215" t="s">
        <v>35</v>
      </c>
      <c r="J11" s="215" t="s">
        <v>34</v>
      </c>
      <c r="K11" s="215" t="s">
        <v>34</v>
      </c>
      <c r="L11" s="215" t="s">
        <v>34</v>
      </c>
      <c r="M11" s="218" t="s">
        <v>36</v>
      </c>
      <c r="N11" s="243" t="s">
        <v>36</v>
      </c>
      <c r="O11" s="352"/>
      <c r="P11" s="353"/>
      <c r="Q11" s="356"/>
      <c r="R11" s="102"/>
      <c r="S11" s="260"/>
      <c r="T11" s="573" t="s">
        <v>74</v>
      </c>
      <c r="V11" s="253" t="s">
        <v>38</v>
      </c>
      <c r="W11" s="253" t="s">
        <v>35</v>
      </c>
      <c r="X11" s="253" t="s">
        <v>39</v>
      </c>
      <c r="Y11" s="275" t="s">
        <v>34</v>
      </c>
      <c r="Z11" s="275" t="s">
        <v>36</v>
      </c>
      <c r="AA11" s="275" t="s">
        <v>40</v>
      </c>
      <c r="AB11" s="275" t="s">
        <v>41</v>
      </c>
      <c r="AC11" s="264"/>
      <c r="AD11" s="253" t="s">
        <v>38</v>
      </c>
      <c r="AE11" s="253" t="s">
        <v>35</v>
      </c>
      <c r="AF11" s="253" t="s">
        <v>39</v>
      </c>
      <c r="AG11" s="275" t="s">
        <v>34</v>
      </c>
      <c r="AH11" s="275" t="s">
        <v>36</v>
      </c>
      <c r="AI11" s="275" t="s">
        <v>40</v>
      </c>
      <c r="AJ11" s="275" t="s">
        <v>41</v>
      </c>
      <c r="AK11" s="264"/>
      <c r="AL11" s="253" t="s">
        <v>38</v>
      </c>
      <c r="AM11" s="276" t="s">
        <v>35</v>
      </c>
      <c r="AN11" s="276" t="s">
        <v>39</v>
      </c>
      <c r="AO11" s="275" t="s">
        <v>34</v>
      </c>
      <c r="AP11" s="275" t="s">
        <v>36</v>
      </c>
      <c r="AQ11" s="275" t="s">
        <v>40</v>
      </c>
      <c r="AR11" s="275" t="s">
        <v>41</v>
      </c>
    </row>
    <row r="12" spans="1:44" ht="30" customHeight="1">
      <c r="A12" s="513"/>
      <c r="B12" s="546"/>
      <c r="C12" s="560"/>
      <c r="D12" s="567"/>
      <c r="E12" s="365" t="s">
        <v>60</v>
      </c>
      <c r="F12" s="46" t="s">
        <v>1665</v>
      </c>
      <c r="G12" s="220" t="s">
        <v>46</v>
      </c>
      <c r="H12" s="43" t="s">
        <v>75</v>
      </c>
      <c r="I12" s="38" t="s">
        <v>76</v>
      </c>
      <c r="J12" s="57" t="s">
        <v>77</v>
      </c>
      <c r="K12" s="60" t="s">
        <v>78</v>
      </c>
      <c r="L12" s="57" t="s">
        <v>79</v>
      </c>
      <c r="M12" s="220" t="s">
        <v>46</v>
      </c>
      <c r="N12" s="239" t="s">
        <v>46</v>
      </c>
      <c r="O12" s="408"/>
      <c r="P12" s="422" t="s">
        <v>184</v>
      </c>
      <c r="Q12" s="395" t="s">
        <v>864</v>
      </c>
      <c r="R12" s="102"/>
      <c r="S12" s="261"/>
      <c r="T12" s="574"/>
      <c r="V12" s="255" t="s">
        <v>81</v>
      </c>
      <c r="W12" s="256">
        <f t="shared" ref="W12:AB12" si="6">COUNTIF($E11:$N11,W11)</f>
        <v>3</v>
      </c>
      <c r="X12" s="256">
        <f t="shared" si="6"/>
        <v>0</v>
      </c>
      <c r="Y12" s="256">
        <f t="shared" si="6"/>
        <v>4</v>
      </c>
      <c r="Z12" s="256">
        <f t="shared" si="6"/>
        <v>3</v>
      </c>
      <c r="AA12" s="256">
        <f t="shared" si="6"/>
        <v>0</v>
      </c>
      <c r="AB12" s="256">
        <f t="shared" si="6"/>
        <v>0</v>
      </c>
      <c r="AC12" s="264"/>
      <c r="AD12" s="255" t="s">
        <v>81</v>
      </c>
      <c r="AE12" s="256" t="e">
        <f ca="1">colorcount($E12:$N12,$S$3)+colorcount($E12:$N12,$S$4)+colorcount($E12:$N12,$S$5)+colorcount($E12:$N12,$S$6)+colorcount($E12:$N12,$S$7)+colorcount($E12:$N12,$S$9)+colorcount($E12:$N12,$S$10)+colorcount($E12:$N12,$S$11)+colorcount($E12:$N12,$S$12)</f>
        <v>#NAME?</v>
      </c>
      <c r="AF12" s="256" t="e">
        <f ca="1">colorcount($E12:$N12,$S$15)</f>
        <v>#NAME?</v>
      </c>
      <c r="AG12" s="256" t="e">
        <f ca="1">colorcount($E12:$N12,$S$17)+colorcount($E12:$N12,$S$18)+colorcount($E12:$N12,$S$19)+colorcount($E12:$N12,$S$20)+colorcount($E12:$N12,$S$21)</f>
        <v>#NAME?</v>
      </c>
      <c r="AH12" s="256" t="e">
        <f ca="1">colorcount($E12:$N12,$S$23)</f>
        <v>#NAME?</v>
      </c>
      <c r="AI12" s="256" t="e">
        <f ca="1">colorcount($E12:$N12,$S$26)</f>
        <v>#NAME?</v>
      </c>
      <c r="AJ12" s="256" t="e">
        <f ca="1">colorcount($E12:$N12,$S$28)</f>
        <v>#NAME?</v>
      </c>
      <c r="AK12" s="264"/>
      <c r="AL12" s="255" t="s">
        <v>81</v>
      </c>
      <c r="AM12" s="277" t="e">
        <f t="shared" ref="AM12:AR12" ca="1" si="7">IF(W12=AE12,"O","X")</f>
        <v>#NAME?</v>
      </c>
      <c r="AN12" s="277" t="e">
        <f t="shared" ca="1" si="7"/>
        <v>#NAME?</v>
      </c>
      <c r="AO12" s="277" t="e">
        <f t="shared" ca="1" si="7"/>
        <v>#NAME?</v>
      </c>
      <c r="AP12" s="277" t="e">
        <f t="shared" ca="1" si="7"/>
        <v>#NAME?</v>
      </c>
      <c r="AQ12" s="277" t="e">
        <f t="shared" ca="1" si="7"/>
        <v>#NAME?</v>
      </c>
      <c r="AR12" s="277" t="e">
        <f t="shared" ca="1" si="7"/>
        <v>#NAME?</v>
      </c>
    </row>
    <row r="13" spans="1:44" ht="30" customHeight="1">
      <c r="A13" s="212"/>
      <c r="B13" s="216" t="s">
        <v>65</v>
      </c>
      <c r="C13" s="213"/>
      <c r="D13" s="360"/>
      <c r="E13" s="364" t="s">
        <v>48</v>
      </c>
      <c r="F13" s="217" t="s">
        <v>48</v>
      </c>
      <c r="G13" s="217" t="s">
        <v>48</v>
      </c>
      <c r="H13" s="217" t="s">
        <v>48</v>
      </c>
      <c r="I13" s="217" t="s">
        <v>48</v>
      </c>
      <c r="J13" s="217" t="s">
        <v>48</v>
      </c>
      <c r="K13" s="217" t="s">
        <v>48</v>
      </c>
      <c r="L13" s="217" t="s">
        <v>48</v>
      </c>
      <c r="M13" s="452" t="s">
        <v>82</v>
      </c>
      <c r="N13" s="455" t="s">
        <v>83</v>
      </c>
      <c r="O13" s="408"/>
      <c r="P13" s="353"/>
      <c r="Q13" s="356"/>
      <c r="R13" s="102"/>
      <c r="S13" s="262"/>
      <c r="T13" s="263"/>
      <c r="V13" s="255"/>
      <c r="W13" s="256"/>
      <c r="X13" s="256"/>
      <c r="Y13" s="256"/>
      <c r="Z13" s="256"/>
      <c r="AA13" s="256"/>
      <c r="AB13" s="256"/>
      <c r="AC13" s="264"/>
      <c r="AD13" s="255"/>
      <c r="AE13" s="256"/>
      <c r="AF13" s="256"/>
      <c r="AG13" s="256"/>
      <c r="AH13" s="256"/>
      <c r="AI13" s="256"/>
      <c r="AJ13" s="256"/>
      <c r="AK13" s="264"/>
      <c r="AL13" s="255"/>
      <c r="AM13" s="277"/>
      <c r="AN13" s="277"/>
      <c r="AO13" s="277"/>
      <c r="AP13" s="277"/>
      <c r="AQ13" s="277"/>
      <c r="AR13" s="277"/>
    </row>
    <row r="14" spans="1:44" ht="14.1" customHeight="1" thickBot="1">
      <c r="A14" s="513" t="s">
        <v>84</v>
      </c>
      <c r="B14" s="546" t="s">
        <v>85</v>
      </c>
      <c r="C14" s="560"/>
      <c r="D14" s="567"/>
      <c r="E14" s="363" t="s">
        <v>34</v>
      </c>
      <c r="F14" s="215" t="s">
        <v>35</v>
      </c>
      <c r="G14" s="240" t="s">
        <v>35</v>
      </c>
      <c r="H14" s="215" t="s">
        <v>34</v>
      </c>
      <c r="I14" s="215" t="s">
        <v>35</v>
      </c>
      <c r="J14" s="215" t="s">
        <v>35</v>
      </c>
      <c r="K14" s="215" t="s">
        <v>34</v>
      </c>
      <c r="L14" s="215" t="s">
        <v>35</v>
      </c>
      <c r="M14" s="219" t="s">
        <v>35</v>
      </c>
      <c r="N14" s="241" t="s">
        <v>35</v>
      </c>
      <c r="O14" s="352"/>
      <c r="P14" s="353"/>
      <c r="Q14" s="356"/>
      <c r="R14" s="102"/>
      <c r="S14" s="264"/>
      <c r="T14" s="264"/>
      <c r="V14" s="253" t="s">
        <v>38</v>
      </c>
      <c r="W14" s="253" t="s">
        <v>35</v>
      </c>
      <c r="X14" s="253" t="s">
        <v>39</v>
      </c>
      <c r="Y14" s="275" t="s">
        <v>34</v>
      </c>
      <c r="Z14" s="275" t="s">
        <v>36</v>
      </c>
      <c r="AA14" s="275" t="s">
        <v>40</v>
      </c>
      <c r="AB14" s="275" t="s">
        <v>41</v>
      </c>
      <c r="AC14" s="264"/>
      <c r="AD14" s="253" t="s">
        <v>38</v>
      </c>
      <c r="AE14" s="253" t="s">
        <v>35</v>
      </c>
      <c r="AF14" s="253" t="s">
        <v>39</v>
      </c>
      <c r="AG14" s="275" t="s">
        <v>34</v>
      </c>
      <c r="AH14" s="275" t="s">
        <v>36</v>
      </c>
      <c r="AI14" s="275" t="s">
        <v>40</v>
      </c>
      <c r="AJ14" s="275" t="s">
        <v>41</v>
      </c>
      <c r="AL14" s="253" t="s">
        <v>38</v>
      </c>
      <c r="AM14" s="276" t="s">
        <v>35</v>
      </c>
      <c r="AN14" s="276" t="s">
        <v>39</v>
      </c>
      <c r="AO14" s="275" t="s">
        <v>34</v>
      </c>
      <c r="AP14" s="275" t="s">
        <v>36</v>
      </c>
      <c r="AQ14" s="275" t="s">
        <v>40</v>
      </c>
      <c r="AR14" s="275" t="s">
        <v>41</v>
      </c>
    </row>
    <row r="15" spans="1:44" ht="30" customHeight="1" thickBot="1">
      <c r="A15" s="513"/>
      <c r="B15" s="546"/>
      <c r="C15" s="560"/>
      <c r="D15" s="567"/>
      <c r="E15" s="56" t="s">
        <v>1550</v>
      </c>
      <c r="F15" s="87" t="s">
        <v>1655</v>
      </c>
      <c r="G15" s="38" t="s">
        <v>1576</v>
      </c>
      <c r="H15" s="57" t="s">
        <v>1553</v>
      </c>
      <c r="I15" s="44" t="s">
        <v>505</v>
      </c>
      <c r="J15" s="46" t="s">
        <v>1658</v>
      </c>
      <c r="K15" s="57" t="s">
        <v>1756</v>
      </c>
      <c r="L15" s="456" t="s">
        <v>1001</v>
      </c>
      <c r="M15" s="46" t="s">
        <v>1666</v>
      </c>
      <c r="N15" s="82" t="s">
        <v>1780</v>
      </c>
      <c r="O15" s="411"/>
      <c r="P15" s="423" t="s">
        <v>122</v>
      </c>
      <c r="Q15" s="395" t="s">
        <v>864</v>
      </c>
      <c r="R15" s="102"/>
      <c r="S15" s="15"/>
      <c r="T15" s="265" t="s">
        <v>86</v>
      </c>
      <c r="V15" s="255" t="s">
        <v>85</v>
      </c>
      <c r="W15" s="256">
        <f t="shared" ref="W15:AB15" si="8">COUNTIF($E14:$N14,W14)</f>
        <v>7</v>
      </c>
      <c r="X15" s="256">
        <f t="shared" si="8"/>
        <v>0</v>
      </c>
      <c r="Y15" s="256">
        <f t="shared" si="8"/>
        <v>3</v>
      </c>
      <c r="Z15" s="256">
        <f t="shared" si="8"/>
        <v>0</v>
      </c>
      <c r="AA15" s="256">
        <f t="shared" si="8"/>
        <v>0</v>
      </c>
      <c r="AB15" s="256">
        <f t="shared" si="8"/>
        <v>0</v>
      </c>
      <c r="AC15" s="264"/>
      <c r="AD15" s="255" t="s">
        <v>85</v>
      </c>
      <c r="AE15" s="256" t="e">
        <f ca="1">colorcount($E15:$N15,$S$3)+colorcount($E15:$N15,$S$4)+colorcount($E15:$N15,$S$5)+colorcount($E15:$N15,$S$6)+colorcount($E15:$N15,$S$7)+colorcount($E15:$N15,$S$9)+colorcount($E15:$N15,$S$10)+colorcount($E15:$N15,$S$11)+colorcount($E15:$N15,$S$12)</f>
        <v>#NAME?</v>
      </c>
      <c r="AF15" s="256" t="e">
        <f ca="1">colorcount($E15:$N15,$S$15)</f>
        <v>#NAME?</v>
      </c>
      <c r="AG15" s="256" t="e">
        <f ca="1">colorcount($E15:$N15,$S$17)+colorcount($E15:$N15,$S$18)+colorcount($E15:$N15,$S$19)+colorcount($E15:$N15,$S$20)+colorcount($E15:$N15,$S$21)</f>
        <v>#NAME?</v>
      </c>
      <c r="AH15" s="256" t="e">
        <f ca="1">colorcount($E15:$N15,$S$23)</f>
        <v>#NAME?</v>
      </c>
      <c r="AI15" s="256" t="e">
        <f ca="1">colorcount($E15:$N15,$S$26)</f>
        <v>#NAME?</v>
      </c>
      <c r="AJ15" s="256" t="e">
        <f ca="1">colorcount($E15:$N15,$S$28)</f>
        <v>#NAME?</v>
      </c>
      <c r="AL15" s="255" t="s">
        <v>85</v>
      </c>
      <c r="AM15" s="277" t="e">
        <f t="shared" ref="AM15:AR15" ca="1" si="9">IF(W15=AE15,"O","X")</f>
        <v>#NAME?</v>
      </c>
      <c r="AN15" s="277" t="e">
        <f t="shared" ca="1" si="9"/>
        <v>#NAME?</v>
      </c>
      <c r="AO15" s="277" t="e">
        <f t="shared" ca="1" si="9"/>
        <v>#NAME?</v>
      </c>
      <c r="AP15" s="277" t="e">
        <f t="shared" ca="1" si="9"/>
        <v>#NAME?</v>
      </c>
      <c r="AQ15" s="277" t="e">
        <f t="shared" ca="1" si="9"/>
        <v>#NAME?</v>
      </c>
      <c r="AR15" s="277" t="e">
        <f t="shared" ca="1" si="9"/>
        <v>#NAME?</v>
      </c>
    </row>
    <row r="16" spans="1:44" ht="14.1" customHeight="1" thickBot="1">
      <c r="A16" s="513" t="s">
        <v>87</v>
      </c>
      <c r="B16" s="546" t="s">
        <v>88</v>
      </c>
      <c r="C16" s="560"/>
      <c r="D16" s="567"/>
      <c r="E16" s="363" t="s">
        <v>34</v>
      </c>
      <c r="F16" s="215" t="s">
        <v>34</v>
      </c>
      <c r="G16" s="215" t="s">
        <v>34</v>
      </c>
      <c r="H16" s="215" t="s">
        <v>35</v>
      </c>
      <c r="I16" s="215" t="s">
        <v>35</v>
      </c>
      <c r="J16" s="215" t="s">
        <v>34</v>
      </c>
      <c r="K16" s="215" t="s">
        <v>35</v>
      </c>
      <c r="L16" s="215" t="s">
        <v>35</v>
      </c>
      <c r="M16" s="215" t="s">
        <v>35</v>
      </c>
      <c r="N16" s="241" t="s">
        <v>35</v>
      </c>
      <c r="O16" s="352"/>
      <c r="P16" s="353"/>
      <c r="Q16" s="356"/>
      <c r="R16" s="102"/>
      <c r="S16" s="264"/>
      <c r="T16" s="264"/>
      <c r="V16" s="253" t="s">
        <v>38</v>
      </c>
      <c r="W16" s="253" t="s">
        <v>35</v>
      </c>
      <c r="X16" s="253" t="s">
        <v>39</v>
      </c>
      <c r="Y16" s="275" t="s">
        <v>34</v>
      </c>
      <c r="Z16" s="275" t="s">
        <v>36</v>
      </c>
      <c r="AA16" s="275" t="s">
        <v>40</v>
      </c>
      <c r="AB16" s="275" t="s">
        <v>41</v>
      </c>
      <c r="AC16" s="264"/>
      <c r="AD16" s="253" t="s">
        <v>38</v>
      </c>
      <c r="AE16" s="253" t="s">
        <v>35</v>
      </c>
      <c r="AF16" s="253" t="s">
        <v>39</v>
      </c>
      <c r="AG16" s="275" t="s">
        <v>34</v>
      </c>
      <c r="AH16" s="275" t="s">
        <v>36</v>
      </c>
      <c r="AI16" s="275" t="s">
        <v>40</v>
      </c>
      <c r="AJ16" s="275" t="s">
        <v>41</v>
      </c>
      <c r="AL16" s="253" t="s">
        <v>38</v>
      </c>
      <c r="AM16" s="276" t="s">
        <v>35</v>
      </c>
      <c r="AN16" s="276" t="s">
        <v>39</v>
      </c>
      <c r="AO16" s="275" t="s">
        <v>34</v>
      </c>
      <c r="AP16" s="275" t="s">
        <v>36</v>
      </c>
      <c r="AQ16" s="275" t="s">
        <v>40</v>
      </c>
      <c r="AR16" s="275" t="s">
        <v>41</v>
      </c>
    </row>
    <row r="17" spans="1:44" ht="30" customHeight="1">
      <c r="A17" s="513"/>
      <c r="B17" s="546"/>
      <c r="C17" s="560"/>
      <c r="D17" s="567"/>
      <c r="E17" s="56" t="s">
        <v>89</v>
      </c>
      <c r="F17" s="57" t="s">
        <v>90</v>
      </c>
      <c r="G17" s="57" t="s">
        <v>91</v>
      </c>
      <c r="H17" s="456" t="s">
        <v>92</v>
      </c>
      <c r="I17" s="38" t="s">
        <v>93</v>
      </c>
      <c r="J17" s="57" t="s">
        <v>56</v>
      </c>
      <c r="K17" s="456" t="s">
        <v>94</v>
      </c>
      <c r="L17" s="40" t="s">
        <v>95</v>
      </c>
      <c r="M17" s="456" t="s">
        <v>96</v>
      </c>
      <c r="N17" s="77" t="s">
        <v>97</v>
      </c>
      <c r="O17" s="408"/>
      <c r="P17" s="422" t="s">
        <v>134</v>
      </c>
      <c r="Q17" s="395" t="s">
        <v>864</v>
      </c>
      <c r="R17" s="102"/>
      <c r="S17" s="17"/>
      <c r="T17" s="266" t="s">
        <v>98</v>
      </c>
      <c r="V17" s="255" t="s">
        <v>88</v>
      </c>
      <c r="W17" s="256">
        <f t="shared" ref="W17:AB17" si="10">COUNTIF($E16:$N16,W16)</f>
        <v>6</v>
      </c>
      <c r="X17" s="256">
        <f t="shared" si="10"/>
        <v>0</v>
      </c>
      <c r="Y17" s="256">
        <f t="shared" si="10"/>
        <v>4</v>
      </c>
      <c r="Z17" s="256">
        <f t="shared" si="10"/>
        <v>0</v>
      </c>
      <c r="AA17" s="256">
        <f t="shared" si="10"/>
        <v>0</v>
      </c>
      <c r="AB17" s="256">
        <f t="shared" si="10"/>
        <v>0</v>
      </c>
      <c r="AC17" s="264"/>
      <c r="AD17" s="255" t="s">
        <v>88</v>
      </c>
      <c r="AE17" s="256" t="e">
        <f ca="1">colorcount($E17:$N17,$S$3)+colorcount($E17:$N17,$S$4)+colorcount($E17:$N17,$S$5)+colorcount($E17:$N17,$S$6)+colorcount($E17:$N17,$S$7)+colorcount($E17:$N17,$S$9)+colorcount($E17:$N17,$S$10)+colorcount($E17:$N17,$S$11)+colorcount($E17:$N17,$S$12)</f>
        <v>#NAME?</v>
      </c>
      <c r="AF17" s="256" t="e">
        <f ca="1">colorcount($E17:$M17,$S$15)</f>
        <v>#NAME?</v>
      </c>
      <c r="AG17" s="256" t="e">
        <f ca="1">colorcount($E17:$M17,$S$17)+colorcount($E17:$M17,$S$18)+colorcount($E17:$M17,$S$19)+colorcount($E17:$M17,$S$20)+colorcount($E17:$M17,$S$21)</f>
        <v>#NAME?</v>
      </c>
      <c r="AH17" s="256" t="e">
        <f ca="1">colorcount($E17:$M17,$S$23)</f>
        <v>#NAME?</v>
      </c>
      <c r="AI17" s="256" t="e">
        <f ca="1">colorcount($E17:$M17,$S$26)</f>
        <v>#NAME?</v>
      </c>
      <c r="AJ17" s="256" t="e">
        <f ca="1">colorcount($E17:$M17,$S$28)</f>
        <v>#NAME?</v>
      </c>
      <c r="AL17" s="255" t="s">
        <v>88</v>
      </c>
      <c r="AM17" s="277" t="e">
        <f t="shared" ref="AM17:AR17" ca="1" si="11">IF(W17=AE17,"O","X")</f>
        <v>#NAME?</v>
      </c>
      <c r="AN17" s="277" t="e">
        <f t="shared" ca="1" si="11"/>
        <v>#NAME?</v>
      </c>
      <c r="AO17" s="277" t="e">
        <f t="shared" ca="1" si="11"/>
        <v>#NAME?</v>
      </c>
      <c r="AP17" s="277" t="e">
        <f t="shared" ca="1" si="11"/>
        <v>#NAME?</v>
      </c>
      <c r="AQ17" s="277" t="e">
        <f t="shared" ca="1" si="11"/>
        <v>#NAME?</v>
      </c>
      <c r="AR17" s="277" t="e">
        <f t="shared" ca="1" si="11"/>
        <v>#NAME?</v>
      </c>
    </row>
    <row r="18" spans="1:44" ht="14.1" customHeight="1">
      <c r="A18" s="513" t="s">
        <v>99</v>
      </c>
      <c r="B18" s="546" t="s">
        <v>100</v>
      </c>
      <c r="C18" s="560"/>
      <c r="D18" s="567"/>
      <c r="E18" s="363" t="s">
        <v>34</v>
      </c>
      <c r="F18" s="215" t="s">
        <v>34</v>
      </c>
      <c r="G18" s="215" t="s">
        <v>39</v>
      </c>
      <c r="H18" s="215" t="s">
        <v>39</v>
      </c>
      <c r="I18" s="218" t="s">
        <v>36</v>
      </c>
      <c r="J18" s="215" t="s">
        <v>35</v>
      </c>
      <c r="K18" s="218" t="s">
        <v>36</v>
      </c>
      <c r="L18" s="215" t="s">
        <v>35</v>
      </c>
      <c r="M18" s="215" t="s">
        <v>35</v>
      </c>
      <c r="N18" s="241" t="s">
        <v>39</v>
      </c>
      <c r="O18" s="352"/>
      <c r="P18" s="353"/>
      <c r="Q18" s="356"/>
      <c r="R18" s="102"/>
      <c r="S18" s="19"/>
      <c r="T18" s="252" t="s">
        <v>101</v>
      </c>
      <c r="V18" s="253" t="s">
        <v>38</v>
      </c>
      <c r="W18" s="253" t="s">
        <v>35</v>
      </c>
      <c r="X18" s="253" t="s">
        <v>39</v>
      </c>
      <c r="Y18" s="275" t="s">
        <v>34</v>
      </c>
      <c r="Z18" s="275" t="s">
        <v>36</v>
      </c>
      <c r="AA18" s="275" t="s">
        <v>40</v>
      </c>
      <c r="AB18" s="275" t="s">
        <v>41</v>
      </c>
      <c r="AC18" s="264"/>
      <c r="AD18" s="253" t="s">
        <v>38</v>
      </c>
      <c r="AE18" s="253" t="s">
        <v>35</v>
      </c>
      <c r="AF18" s="253" t="s">
        <v>39</v>
      </c>
      <c r="AG18" s="275" t="s">
        <v>34</v>
      </c>
      <c r="AH18" s="275" t="s">
        <v>36</v>
      </c>
      <c r="AI18" s="275" t="s">
        <v>40</v>
      </c>
      <c r="AJ18" s="275" t="s">
        <v>41</v>
      </c>
      <c r="AK18" s="264"/>
      <c r="AL18" s="253" t="s">
        <v>38</v>
      </c>
      <c r="AM18" s="276" t="s">
        <v>35</v>
      </c>
      <c r="AN18" s="276" t="s">
        <v>39</v>
      </c>
      <c r="AO18" s="275" t="s">
        <v>34</v>
      </c>
      <c r="AP18" s="275" t="s">
        <v>36</v>
      </c>
      <c r="AQ18" s="275" t="s">
        <v>40</v>
      </c>
      <c r="AR18" s="275" t="s">
        <v>41</v>
      </c>
    </row>
    <row r="19" spans="1:44" ht="30" customHeight="1">
      <c r="A19" s="513"/>
      <c r="B19" s="546"/>
      <c r="C19" s="560"/>
      <c r="D19" s="567"/>
      <c r="E19" s="56" t="s">
        <v>102</v>
      </c>
      <c r="F19" s="57" t="s">
        <v>103</v>
      </c>
      <c r="G19" s="221" t="s">
        <v>58</v>
      </c>
      <c r="H19" s="221" t="s">
        <v>58</v>
      </c>
      <c r="I19" s="220" t="s">
        <v>46</v>
      </c>
      <c r="J19" s="38" t="s">
        <v>1571</v>
      </c>
      <c r="K19" s="220" t="s">
        <v>46</v>
      </c>
      <c r="L19" s="38" t="s">
        <v>105</v>
      </c>
      <c r="M19" s="224" t="s">
        <v>106</v>
      </c>
      <c r="N19" s="244" t="s">
        <v>58</v>
      </c>
      <c r="O19" s="412"/>
      <c r="P19" s="424" t="s">
        <v>140</v>
      </c>
      <c r="Q19" s="395" t="s">
        <v>864</v>
      </c>
      <c r="R19" s="102"/>
      <c r="S19" s="20"/>
      <c r="T19" s="252" t="s">
        <v>108</v>
      </c>
      <c r="V19" s="255" t="s">
        <v>100</v>
      </c>
      <c r="W19" s="256">
        <f t="shared" ref="W19:AB19" si="12">COUNTIF($E18:$N18,W18)</f>
        <v>3</v>
      </c>
      <c r="X19" s="256">
        <f t="shared" si="12"/>
        <v>3</v>
      </c>
      <c r="Y19" s="256">
        <f t="shared" si="12"/>
        <v>2</v>
      </c>
      <c r="Z19" s="256">
        <f t="shared" si="12"/>
        <v>2</v>
      </c>
      <c r="AA19" s="256">
        <f t="shared" si="12"/>
        <v>0</v>
      </c>
      <c r="AB19" s="256">
        <f t="shared" si="12"/>
        <v>0</v>
      </c>
      <c r="AC19" s="264"/>
      <c r="AD19" s="255" t="s">
        <v>100</v>
      </c>
      <c r="AE19" s="256" t="e">
        <f ca="1">colorcount($E19:$N19,$S$3)+colorcount($E19:$N19,$S$4)+colorcount($E19:$N19,$S$5)+colorcount($E19:$N19,$S$6)+colorcount($E19:$N19,$S$7)+colorcount($E19:$N19,$S$9)+colorcount($E19:$N19,$S$10)+colorcount($E19:$N19,$S$11)+colorcount($E19:$N19,$S$12)</f>
        <v>#NAME?</v>
      </c>
      <c r="AF19" s="256" t="e">
        <f ca="1">colorcount($E19:$N19,$S$15)</f>
        <v>#NAME?</v>
      </c>
      <c r="AG19" s="256" t="e">
        <f ca="1">colorcount($E19:$N19,$S$17)+colorcount($E19:$N19,$S$18)+colorcount($E19:$N19,$S$19)+colorcount($E19:$N19,$S$20)+colorcount($E19:$N19,$S$21)</f>
        <v>#NAME?</v>
      </c>
      <c r="AH19" s="256" t="e">
        <f ca="1">colorcount($E19:$N19,$S$23)</f>
        <v>#NAME?</v>
      </c>
      <c r="AI19" s="256" t="e">
        <f ca="1">colorcount($E19:$N19,$S$26)</f>
        <v>#NAME?</v>
      </c>
      <c r="AJ19" s="256" t="e">
        <f ca="1">colorcount($E19:$N19,$S$28)</f>
        <v>#NAME?</v>
      </c>
      <c r="AK19" s="264"/>
      <c r="AL19" s="255" t="s">
        <v>100</v>
      </c>
      <c r="AM19" s="277" t="e">
        <f t="shared" ref="AM19:AR19" ca="1" si="13">IF(W19=AE19,"O","X")</f>
        <v>#NAME?</v>
      </c>
      <c r="AN19" s="277" t="e">
        <f t="shared" ca="1" si="13"/>
        <v>#NAME?</v>
      </c>
      <c r="AO19" s="277" t="e">
        <f t="shared" ca="1" si="13"/>
        <v>#NAME?</v>
      </c>
      <c r="AP19" s="277" t="e">
        <f t="shared" ca="1" si="13"/>
        <v>#NAME?</v>
      </c>
      <c r="AQ19" s="277" t="e">
        <f t="shared" ca="1" si="13"/>
        <v>#NAME?</v>
      </c>
      <c r="AR19" s="277" t="e">
        <f t="shared" ca="1" si="13"/>
        <v>#NAME?</v>
      </c>
    </row>
    <row r="20" spans="1:44" ht="14.1" customHeight="1" thickBot="1">
      <c r="A20" s="513" t="s">
        <v>109</v>
      </c>
      <c r="B20" s="515" t="s">
        <v>110</v>
      </c>
      <c r="C20" s="560"/>
      <c r="D20" s="567"/>
      <c r="E20" s="366" t="s">
        <v>36</v>
      </c>
      <c r="F20" s="218" t="s">
        <v>36</v>
      </c>
      <c r="G20" s="215" t="s">
        <v>39</v>
      </c>
      <c r="H20" s="215" t="s">
        <v>35</v>
      </c>
      <c r="I20" s="215" t="s">
        <v>35</v>
      </c>
      <c r="J20" s="215" t="s">
        <v>34</v>
      </c>
      <c r="K20" s="215" t="s">
        <v>35</v>
      </c>
      <c r="L20" s="215"/>
      <c r="M20" s="215" t="s">
        <v>35</v>
      </c>
      <c r="N20" s="243" t="s">
        <v>36</v>
      </c>
      <c r="O20" s="413"/>
      <c r="P20" s="147"/>
      <c r="Q20" s="356"/>
      <c r="R20" s="102"/>
      <c r="S20" s="21"/>
      <c r="T20" s="252" t="s">
        <v>111</v>
      </c>
      <c r="V20" s="253" t="s">
        <v>38</v>
      </c>
      <c r="W20" s="253" t="s">
        <v>35</v>
      </c>
      <c r="X20" s="253" t="s">
        <v>39</v>
      </c>
      <c r="Y20" s="275" t="s">
        <v>34</v>
      </c>
      <c r="Z20" s="275" t="s">
        <v>36</v>
      </c>
      <c r="AA20" s="275" t="s">
        <v>40</v>
      </c>
      <c r="AB20" s="275" t="s">
        <v>41</v>
      </c>
      <c r="AC20" s="264"/>
      <c r="AD20" s="253" t="s">
        <v>38</v>
      </c>
      <c r="AE20" s="253" t="s">
        <v>35</v>
      </c>
      <c r="AF20" s="253" t="s">
        <v>39</v>
      </c>
      <c r="AG20" s="275" t="s">
        <v>34</v>
      </c>
      <c r="AH20" s="275" t="s">
        <v>36</v>
      </c>
      <c r="AI20" s="275" t="s">
        <v>40</v>
      </c>
      <c r="AJ20" s="275" t="s">
        <v>41</v>
      </c>
      <c r="AK20" s="264"/>
      <c r="AL20" s="253" t="s">
        <v>38</v>
      </c>
      <c r="AM20" s="276" t="s">
        <v>35</v>
      </c>
      <c r="AN20" s="276" t="s">
        <v>39</v>
      </c>
      <c r="AO20" s="275" t="s">
        <v>34</v>
      </c>
      <c r="AP20" s="275" t="s">
        <v>36</v>
      </c>
      <c r="AQ20" s="275" t="s">
        <v>40</v>
      </c>
      <c r="AR20" s="275" t="s">
        <v>41</v>
      </c>
    </row>
    <row r="21" spans="1:44" ht="30" customHeight="1" thickBot="1">
      <c r="A21" s="513"/>
      <c r="B21" s="515"/>
      <c r="C21" s="560"/>
      <c r="D21" s="567"/>
      <c r="E21" s="367" t="s">
        <v>112</v>
      </c>
      <c r="F21" s="223" t="s">
        <v>112</v>
      </c>
      <c r="G21" s="221" t="s">
        <v>58</v>
      </c>
      <c r="H21" s="38" t="s">
        <v>1542</v>
      </c>
      <c r="I21" s="38" t="s">
        <v>113</v>
      </c>
      <c r="J21" s="229" t="s">
        <v>114</v>
      </c>
      <c r="K21" s="468" t="s">
        <v>1730</v>
      </c>
      <c r="L21" s="131" t="s">
        <v>864</v>
      </c>
      <c r="M21" s="224" t="s">
        <v>115</v>
      </c>
      <c r="N21" s="245" t="s">
        <v>112</v>
      </c>
      <c r="O21" s="410"/>
      <c r="P21" s="422" t="s">
        <v>214</v>
      </c>
      <c r="Q21" s="395" t="s">
        <v>864</v>
      </c>
      <c r="R21" s="102"/>
      <c r="S21" s="22"/>
      <c r="T21" s="267" t="s">
        <v>116</v>
      </c>
      <c r="V21" s="268" t="s">
        <v>117</v>
      </c>
      <c r="W21" s="256">
        <f t="shared" ref="W21:AB21" si="14">COUNTIF($E20:$N20,W20)</f>
        <v>4</v>
      </c>
      <c r="X21" s="256">
        <f t="shared" si="14"/>
        <v>1</v>
      </c>
      <c r="Y21" s="256">
        <f t="shared" si="14"/>
        <v>1</v>
      </c>
      <c r="Z21" s="256">
        <f t="shared" si="14"/>
        <v>3</v>
      </c>
      <c r="AA21" s="256">
        <f t="shared" si="14"/>
        <v>0</v>
      </c>
      <c r="AB21" s="256">
        <f t="shared" si="14"/>
        <v>0</v>
      </c>
      <c r="AC21" s="264"/>
      <c r="AD21" s="268" t="s">
        <v>117</v>
      </c>
      <c r="AE21" s="256" t="e">
        <f ca="1">colorcount($E21:$N21,$S$3)+colorcount($E21:$N21,$S$4)+colorcount($E21:$N21,$S$5)+colorcount($E21:$N21,$S$6)+colorcount($E21:$N21,$S$7)+colorcount($E21:$N21,$S$9)+colorcount($E21:$N21,$S$10)+colorcount($E21:$N21,$S$11)+colorcount($E21:$N21,$S$12)</f>
        <v>#NAME?</v>
      </c>
      <c r="AF21" s="256" t="e">
        <f ca="1">colorcount($E21:$N21,$S$15)</f>
        <v>#NAME?</v>
      </c>
      <c r="AG21" s="256" t="e">
        <f ca="1">colorcount($E21:$N21,$S$17)+colorcount($E21:$N21,$S$18)+colorcount($E21:$N21,$S$19)+colorcount($E21:$N21,$S$20)+colorcount($E21:$N21,$S$21)</f>
        <v>#NAME?</v>
      </c>
      <c r="AH21" s="256" t="e">
        <f ca="1">colorcount($E21:$N21,$S$23)</f>
        <v>#NAME?</v>
      </c>
      <c r="AI21" s="256" t="e">
        <f ca="1">colorcount($E21:$N21,$S$26)</f>
        <v>#NAME?</v>
      </c>
      <c r="AJ21" s="256" t="e">
        <f ca="1">colorcount($E21:$N21,$S$28)</f>
        <v>#NAME?</v>
      </c>
      <c r="AK21" s="264"/>
      <c r="AL21" s="268" t="s">
        <v>117</v>
      </c>
      <c r="AM21" s="277" t="e">
        <f t="shared" ref="AM21:AR21" ca="1" si="15">IF(W21=AE21,"O","X")</f>
        <v>#NAME?</v>
      </c>
      <c r="AN21" s="277" t="e">
        <f t="shared" ca="1" si="15"/>
        <v>#NAME?</v>
      </c>
      <c r="AO21" s="277" t="e">
        <f t="shared" ca="1" si="15"/>
        <v>#NAME?</v>
      </c>
      <c r="AP21" s="277" t="e">
        <f t="shared" ca="1" si="15"/>
        <v>#NAME?</v>
      </c>
      <c r="AQ21" s="277" t="e">
        <f t="shared" ca="1" si="15"/>
        <v>#NAME?</v>
      </c>
      <c r="AR21" s="277" t="e">
        <f t="shared" ca="1" si="15"/>
        <v>#NAME?</v>
      </c>
    </row>
    <row r="22" spans="1:44" ht="14.1" customHeight="1" thickBot="1">
      <c r="A22" s="513" t="s">
        <v>118</v>
      </c>
      <c r="B22" s="546" t="s">
        <v>119</v>
      </c>
      <c r="C22" s="560"/>
      <c r="D22" s="567"/>
      <c r="E22" s="363" t="s">
        <v>35</v>
      </c>
      <c r="F22" s="218" t="s">
        <v>36</v>
      </c>
      <c r="G22" s="218" t="s">
        <v>36</v>
      </c>
      <c r="H22" s="215" t="s">
        <v>35</v>
      </c>
      <c r="I22" s="218" t="s">
        <v>36</v>
      </c>
      <c r="J22" s="215" t="s">
        <v>35</v>
      </c>
      <c r="K22" s="215" t="s">
        <v>41</v>
      </c>
      <c r="L22" s="215" t="s">
        <v>35</v>
      </c>
      <c r="M22" s="215" t="s">
        <v>35</v>
      </c>
      <c r="N22" s="241" t="s">
        <v>35</v>
      </c>
      <c r="O22" s="409"/>
      <c r="P22" s="147"/>
      <c r="Q22" s="158"/>
      <c r="R22" s="102"/>
      <c r="S22" s="264"/>
      <c r="T22" s="264"/>
      <c r="V22" s="253" t="s">
        <v>38</v>
      </c>
      <c r="W22" s="253" t="s">
        <v>35</v>
      </c>
      <c r="X22" s="253" t="s">
        <v>39</v>
      </c>
      <c r="Y22" s="275" t="s">
        <v>34</v>
      </c>
      <c r="Z22" s="275" t="s">
        <v>36</v>
      </c>
      <c r="AA22" s="275" t="s">
        <v>40</v>
      </c>
      <c r="AB22" s="275" t="s">
        <v>41</v>
      </c>
      <c r="AC22" s="264"/>
      <c r="AD22" s="253" t="s">
        <v>38</v>
      </c>
      <c r="AE22" s="253" t="s">
        <v>35</v>
      </c>
      <c r="AF22" s="253" t="s">
        <v>39</v>
      </c>
      <c r="AG22" s="275" t="s">
        <v>34</v>
      </c>
      <c r="AH22" s="275" t="s">
        <v>36</v>
      </c>
      <c r="AI22" s="275" t="s">
        <v>40</v>
      </c>
      <c r="AJ22" s="275" t="s">
        <v>41</v>
      </c>
      <c r="AK22" s="264"/>
      <c r="AL22" s="253" t="s">
        <v>38</v>
      </c>
      <c r="AM22" s="276" t="s">
        <v>35</v>
      </c>
      <c r="AN22" s="276" t="s">
        <v>39</v>
      </c>
      <c r="AO22" s="275" t="s">
        <v>34</v>
      </c>
      <c r="AP22" s="275" t="s">
        <v>36</v>
      </c>
      <c r="AQ22" s="275" t="s">
        <v>40</v>
      </c>
      <c r="AR22" s="275" t="s">
        <v>41</v>
      </c>
    </row>
    <row r="23" spans="1:44" ht="30" customHeight="1" thickBot="1">
      <c r="A23" s="513"/>
      <c r="B23" s="546"/>
      <c r="C23" s="560"/>
      <c r="D23" s="567"/>
      <c r="E23" s="368" t="s">
        <v>115</v>
      </c>
      <c r="F23" s="220" t="s">
        <v>46</v>
      </c>
      <c r="G23" s="220" t="s">
        <v>46</v>
      </c>
      <c r="H23" s="224" t="s">
        <v>115</v>
      </c>
      <c r="I23" s="220" t="s">
        <v>46</v>
      </c>
      <c r="J23" s="224" t="s">
        <v>115</v>
      </c>
      <c r="K23" s="228" t="s">
        <v>41</v>
      </c>
      <c r="L23" s="224" t="s">
        <v>115</v>
      </c>
      <c r="M23" s="38" t="s">
        <v>120</v>
      </c>
      <c r="N23" s="246" t="s">
        <v>115</v>
      </c>
      <c r="O23" s="412"/>
      <c r="P23" s="353"/>
      <c r="Q23" s="356"/>
      <c r="R23" s="102"/>
      <c r="S23" s="24"/>
      <c r="T23" s="269" t="s">
        <v>121</v>
      </c>
      <c r="V23" s="255" t="s">
        <v>122</v>
      </c>
      <c r="W23" s="256">
        <f t="shared" ref="W23:AB23" si="16">COUNTIF($E22:$N22,W22)</f>
        <v>6</v>
      </c>
      <c r="X23" s="256">
        <f t="shared" si="16"/>
        <v>0</v>
      </c>
      <c r="Y23" s="256">
        <f t="shared" si="16"/>
        <v>0</v>
      </c>
      <c r="Z23" s="256">
        <f t="shared" si="16"/>
        <v>3</v>
      </c>
      <c r="AA23" s="256">
        <f t="shared" si="16"/>
        <v>0</v>
      </c>
      <c r="AB23" s="256">
        <f t="shared" si="16"/>
        <v>1</v>
      </c>
      <c r="AC23" s="264"/>
      <c r="AD23" s="255" t="s">
        <v>122</v>
      </c>
      <c r="AE23" s="256" t="e">
        <f ca="1">colorcount($E23:$N23,$S$3)+colorcount($E23:$N23,$S$4)+colorcount($E23:$N23,$S$5)+colorcount($E23:$N23,$S$6)+colorcount($E23:$N23,$S$7)+colorcount($E23:$N23,$S$9)+colorcount($E23:$N23,$S$10)+colorcount($E23:$N23,$S$11)+colorcount($E23:$N23,$S$12)</f>
        <v>#NAME?</v>
      </c>
      <c r="AF23" s="256" t="e">
        <f ca="1">colorcount($E23:$N23,$S$15)</f>
        <v>#NAME?</v>
      </c>
      <c r="AG23" s="256" t="e">
        <f ca="1">colorcount($E23:$N23,$S$17)+colorcount($E23:$N23,$S$18)+colorcount($E23:$N23,$S$19)+colorcount($E23:$N23,$S$20)+colorcount($E23:$N23,$S$21)</f>
        <v>#NAME?</v>
      </c>
      <c r="AH23" s="256" t="e">
        <f ca="1">colorcount($E23:$N23,$S$23)</f>
        <v>#NAME?</v>
      </c>
      <c r="AI23" s="256" t="e">
        <f ca="1">colorcount($E23:$N23,$S$26)</f>
        <v>#NAME?</v>
      </c>
      <c r="AJ23" s="256" t="e">
        <f ca="1">colorcount($E23:$N23,$S$28)</f>
        <v>#NAME?</v>
      </c>
      <c r="AK23" s="264"/>
      <c r="AL23" s="255" t="s">
        <v>122</v>
      </c>
      <c r="AM23" s="277" t="e">
        <f t="shared" ref="AM23:AR23" ca="1" si="17">IF(W23=AE23,"O","X")</f>
        <v>#NAME?</v>
      </c>
      <c r="AN23" s="277" t="e">
        <f t="shared" ca="1" si="17"/>
        <v>#NAME?</v>
      </c>
      <c r="AO23" s="277" t="e">
        <f t="shared" ca="1" si="17"/>
        <v>#NAME?</v>
      </c>
      <c r="AP23" s="277" t="e">
        <f t="shared" ca="1" si="17"/>
        <v>#NAME?</v>
      </c>
      <c r="AQ23" s="277" t="e">
        <f t="shared" ca="1" si="17"/>
        <v>#NAME?</v>
      </c>
      <c r="AR23" s="277" t="e">
        <f t="shared" ca="1" si="17"/>
        <v>#NAME?</v>
      </c>
    </row>
    <row r="24" spans="1:44" ht="30" customHeight="1">
      <c r="A24" s="212"/>
      <c r="B24" s="216" t="s">
        <v>65</v>
      </c>
      <c r="C24" s="213"/>
      <c r="D24" s="360"/>
      <c r="E24" s="364" t="s">
        <v>48</v>
      </c>
      <c r="F24" s="217" t="s">
        <v>48</v>
      </c>
      <c r="G24" s="44" t="s">
        <v>123</v>
      </c>
      <c r="H24" s="217" t="s">
        <v>48</v>
      </c>
      <c r="I24" s="44" t="s">
        <v>124</v>
      </c>
      <c r="J24" s="217" t="s">
        <v>48</v>
      </c>
      <c r="K24" s="46" t="s">
        <v>1712</v>
      </c>
      <c r="L24" s="217" t="s">
        <v>48</v>
      </c>
      <c r="M24" s="217" t="s">
        <v>48</v>
      </c>
      <c r="N24" s="242" t="s">
        <v>48</v>
      </c>
      <c r="O24" s="412"/>
      <c r="P24" s="353"/>
      <c r="Q24" s="356"/>
      <c r="R24" s="102"/>
      <c r="S24" s="270"/>
      <c r="T24" s="271"/>
      <c r="V24" s="255"/>
      <c r="W24" s="256"/>
      <c r="X24" s="256"/>
      <c r="Y24" s="256"/>
      <c r="Z24" s="256"/>
      <c r="AA24" s="256"/>
      <c r="AB24" s="256"/>
      <c r="AC24" s="264"/>
      <c r="AD24" s="255"/>
      <c r="AE24" s="256"/>
      <c r="AF24" s="256"/>
      <c r="AG24" s="256"/>
      <c r="AH24" s="256"/>
      <c r="AI24" s="256"/>
      <c r="AJ24" s="256"/>
      <c r="AK24" s="264"/>
      <c r="AL24" s="255"/>
      <c r="AM24" s="277"/>
      <c r="AN24" s="277"/>
      <c r="AO24" s="277"/>
      <c r="AP24" s="277"/>
      <c r="AQ24" s="277"/>
      <c r="AR24" s="277"/>
    </row>
    <row r="25" spans="1:44" ht="14.1" customHeight="1" thickBot="1">
      <c r="A25" s="513" t="s">
        <v>125</v>
      </c>
      <c r="B25" s="546" t="s">
        <v>126</v>
      </c>
      <c r="C25" s="560"/>
      <c r="D25" s="567"/>
      <c r="E25" s="363" t="s">
        <v>34</v>
      </c>
      <c r="F25" s="215" t="s">
        <v>34</v>
      </c>
      <c r="G25" s="215" t="s">
        <v>34</v>
      </c>
      <c r="H25" s="215" t="s">
        <v>35</v>
      </c>
      <c r="I25" s="215" t="s">
        <v>34</v>
      </c>
      <c r="J25" s="215" t="s">
        <v>35</v>
      </c>
      <c r="K25" s="215" t="s">
        <v>35</v>
      </c>
      <c r="L25" s="215" t="s">
        <v>34</v>
      </c>
      <c r="M25" s="218" t="s">
        <v>36</v>
      </c>
      <c r="N25" s="243" t="s">
        <v>36</v>
      </c>
      <c r="O25" s="352"/>
      <c r="P25" s="353"/>
      <c r="Q25" s="356"/>
      <c r="R25" s="102"/>
      <c r="S25" s="264"/>
      <c r="T25" s="264"/>
      <c r="V25" s="253" t="s">
        <v>38</v>
      </c>
      <c r="W25" s="253" t="s">
        <v>35</v>
      </c>
      <c r="X25" s="253" t="s">
        <v>39</v>
      </c>
      <c r="Y25" s="275" t="s">
        <v>34</v>
      </c>
      <c r="Z25" s="275" t="s">
        <v>36</v>
      </c>
      <c r="AA25" s="275" t="s">
        <v>40</v>
      </c>
      <c r="AB25" s="275" t="s">
        <v>41</v>
      </c>
      <c r="AC25" s="264"/>
      <c r="AD25" s="253" t="s">
        <v>38</v>
      </c>
      <c r="AE25" s="253" t="s">
        <v>35</v>
      </c>
      <c r="AF25" s="253" t="s">
        <v>39</v>
      </c>
      <c r="AG25" s="275" t="s">
        <v>34</v>
      </c>
      <c r="AH25" s="275" t="s">
        <v>36</v>
      </c>
      <c r="AI25" s="275" t="s">
        <v>40</v>
      </c>
      <c r="AJ25" s="275" t="s">
        <v>41</v>
      </c>
      <c r="AK25" s="264"/>
      <c r="AL25" s="253" t="s">
        <v>38</v>
      </c>
      <c r="AM25" s="276" t="s">
        <v>35</v>
      </c>
      <c r="AN25" s="276" t="s">
        <v>39</v>
      </c>
      <c r="AO25" s="275" t="s">
        <v>34</v>
      </c>
      <c r="AP25" s="275" t="s">
        <v>36</v>
      </c>
      <c r="AQ25" s="275" t="s">
        <v>40</v>
      </c>
      <c r="AR25" s="275" t="s">
        <v>41</v>
      </c>
    </row>
    <row r="26" spans="1:44" ht="30" customHeight="1" thickBot="1">
      <c r="A26" s="513"/>
      <c r="B26" s="546"/>
      <c r="C26" s="560"/>
      <c r="D26" s="567"/>
      <c r="E26" s="56" t="s">
        <v>127</v>
      </c>
      <c r="F26" s="57" t="s">
        <v>128</v>
      </c>
      <c r="G26" s="57" t="s">
        <v>79</v>
      </c>
      <c r="H26" s="456" t="s">
        <v>129</v>
      </c>
      <c r="I26" s="247" t="s">
        <v>130</v>
      </c>
      <c r="J26" s="456" t="s">
        <v>131</v>
      </c>
      <c r="K26" s="38" t="s">
        <v>132</v>
      </c>
      <c r="L26" s="57" t="s">
        <v>60</v>
      </c>
      <c r="M26" s="220" t="s">
        <v>46</v>
      </c>
      <c r="N26" s="239" t="s">
        <v>46</v>
      </c>
      <c r="O26" s="408"/>
      <c r="P26" s="422" t="s">
        <v>991</v>
      </c>
      <c r="Q26" s="395" t="s">
        <v>864</v>
      </c>
      <c r="R26" s="102"/>
      <c r="S26" s="26"/>
      <c r="T26" s="272" t="s">
        <v>40</v>
      </c>
      <c r="V26" s="255" t="s">
        <v>126</v>
      </c>
      <c r="W26" s="256">
        <f t="shared" ref="W26:AB26" si="18">COUNTIF($E25:$N25,W25)</f>
        <v>3</v>
      </c>
      <c r="X26" s="256">
        <f t="shared" si="18"/>
        <v>0</v>
      </c>
      <c r="Y26" s="256">
        <f t="shared" si="18"/>
        <v>5</v>
      </c>
      <c r="Z26" s="256">
        <f t="shared" si="18"/>
        <v>2</v>
      </c>
      <c r="AA26" s="256">
        <f t="shared" si="18"/>
        <v>0</v>
      </c>
      <c r="AB26" s="256">
        <f t="shared" si="18"/>
        <v>0</v>
      </c>
      <c r="AC26" s="264"/>
      <c r="AD26" s="255" t="s">
        <v>126</v>
      </c>
      <c r="AE26" s="256" t="e">
        <f ca="1">colorcount($E26:$N26,$S$3)+colorcount($E26:$N26,$S$4)+colorcount($E26:$N26,$S$5)+colorcount($E26:$N26,$S$6)+colorcount($E26:$N26,$S$7)+colorcount($E26:$N26,$S$9)+colorcount($E26:$N26,$S$10)+colorcount($E26:$N26,$S$11)+colorcount($E26:$N26,$S$12)</f>
        <v>#NAME?</v>
      </c>
      <c r="AF26" s="256" t="e">
        <f ca="1">colorcount($E26:$N26,$S$15)</f>
        <v>#NAME?</v>
      </c>
      <c r="AG26" s="256" t="e">
        <f ca="1">colorcount($E26:$N26,$S$17)+colorcount($E26:$N26,$S$18)+colorcount($E26:$N26,$S$19)+colorcount($E26:$N26,$S$20)+colorcount($E26:$N26,$S$21)</f>
        <v>#NAME?</v>
      </c>
      <c r="AH26" s="256" t="e">
        <f ca="1">colorcount($E26:$N26,$S$23)</f>
        <v>#NAME?</v>
      </c>
      <c r="AI26" s="256" t="e">
        <f ca="1">colorcount($E26:$N26,$S$26)</f>
        <v>#NAME?</v>
      </c>
      <c r="AJ26" s="256" t="e">
        <f ca="1">colorcount($E26:$N26,$S$28)</f>
        <v>#NAME?</v>
      </c>
      <c r="AK26" s="264"/>
      <c r="AL26" s="255" t="s">
        <v>126</v>
      </c>
      <c r="AM26" s="277" t="e">
        <f t="shared" ref="AM26:AR26" ca="1" si="19">IF(W26=AE26,"O","X")</f>
        <v>#NAME?</v>
      </c>
      <c r="AN26" s="277" t="e">
        <f t="shared" ca="1" si="19"/>
        <v>#NAME?</v>
      </c>
      <c r="AO26" s="277" t="e">
        <f t="shared" ca="1" si="19"/>
        <v>#NAME?</v>
      </c>
      <c r="AP26" s="277" t="e">
        <f t="shared" ca="1" si="19"/>
        <v>#NAME?</v>
      </c>
      <c r="AQ26" s="277" t="e">
        <f t="shared" ca="1" si="19"/>
        <v>#NAME?</v>
      </c>
      <c r="AR26" s="277" t="e">
        <f t="shared" ca="1" si="19"/>
        <v>#NAME?</v>
      </c>
    </row>
    <row r="27" spans="1:44" ht="14.1" customHeight="1" thickBot="1">
      <c r="A27" s="513" t="s">
        <v>133</v>
      </c>
      <c r="B27" s="546" t="s">
        <v>134</v>
      </c>
      <c r="C27" s="560"/>
      <c r="D27" s="567"/>
      <c r="E27" s="363" t="s">
        <v>34</v>
      </c>
      <c r="F27" s="215" t="s">
        <v>34</v>
      </c>
      <c r="G27" s="215" t="s">
        <v>35</v>
      </c>
      <c r="H27" s="215" t="s">
        <v>39</v>
      </c>
      <c r="I27" s="215" t="s">
        <v>35</v>
      </c>
      <c r="J27" s="215" t="s">
        <v>34</v>
      </c>
      <c r="K27" s="215" t="s">
        <v>39</v>
      </c>
      <c r="L27" s="215" t="s">
        <v>39</v>
      </c>
      <c r="M27" s="215" t="s">
        <v>35</v>
      </c>
      <c r="N27" s="241" t="s">
        <v>35</v>
      </c>
      <c r="O27" s="352"/>
      <c r="P27" s="353"/>
      <c r="Q27" s="356"/>
      <c r="R27" s="102"/>
      <c r="S27" s="264"/>
      <c r="T27" s="264"/>
      <c r="V27" s="253" t="s">
        <v>38</v>
      </c>
      <c r="W27" s="253" t="s">
        <v>35</v>
      </c>
      <c r="X27" s="253" t="s">
        <v>39</v>
      </c>
      <c r="Y27" s="275" t="s">
        <v>34</v>
      </c>
      <c r="Z27" s="275" t="s">
        <v>36</v>
      </c>
      <c r="AA27" s="275" t="s">
        <v>40</v>
      </c>
      <c r="AB27" s="275" t="s">
        <v>41</v>
      </c>
      <c r="AC27" s="264"/>
      <c r="AD27" s="253" t="s">
        <v>38</v>
      </c>
      <c r="AE27" s="253" t="s">
        <v>35</v>
      </c>
      <c r="AF27" s="253" t="s">
        <v>39</v>
      </c>
      <c r="AG27" s="275" t="s">
        <v>34</v>
      </c>
      <c r="AH27" s="275" t="s">
        <v>36</v>
      </c>
      <c r="AI27" s="275" t="s">
        <v>40</v>
      </c>
      <c r="AJ27" s="275" t="s">
        <v>41</v>
      </c>
      <c r="AK27" s="264"/>
      <c r="AL27" s="253" t="s">
        <v>38</v>
      </c>
      <c r="AM27" s="276" t="s">
        <v>35</v>
      </c>
      <c r="AN27" s="276" t="s">
        <v>39</v>
      </c>
      <c r="AO27" s="275" t="s">
        <v>34</v>
      </c>
      <c r="AP27" s="275" t="s">
        <v>36</v>
      </c>
      <c r="AQ27" s="275" t="s">
        <v>40</v>
      </c>
      <c r="AR27" s="275" t="s">
        <v>41</v>
      </c>
    </row>
    <row r="28" spans="1:44" ht="30" customHeight="1" thickBot="1">
      <c r="A28" s="513"/>
      <c r="B28" s="546"/>
      <c r="C28" s="560"/>
      <c r="D28" s="567"/>
      <c r="E28" s="56" t="s">
        <v>128</v>
      </c>
      <c r="F28" s="57" t="s">
        <v>1553</v>
      </c>
      <c r="G28" s="38" t="s">
        <v>135</v>
      </c>
      <c r="H28" s="221" t="s">
        <v>59</v>
      </c>
      <c r="I28" s="456" t="s">
        <v>136</v>
      </c>
      <c r="J28" s="57" t="s">
        <v>103</v>
      </c>
      <c r="K28" s="221" t="s">
        <v>58</v>
      </c>
      <c r="L28" s="221" t="s">
        <v>58</v>
      </c>
      <c r="M28" s="456" t="s">
        <v>137</v>
      </c>
      <c r="N28" s="77" t="s">
        <v>138</v>
      </c>
      <c r="O28" s="410"/>
      <c r="P28" s="422" t="s">
        <v>100</v>
      </c>
      <c r="Q28" s="395" t="s">
        <v>864</v>
      </c>
      <c r="R28" s="102"/>
      <c r="S28" s="28"/>
      <c r="T28" s="273" t="s">
        <v>41</v>
      </c>
      <c r="V28" s="255" t="s">
        <v>134</v>
      </c>
      <c r="W28" s="256">
        <f t="shared" ref="W28:AB28" si="20">COUNTIF($E27:$N27,W27)</f>
        <v>4</v>
      </c>
      <c r="X28" s="256">
        <f t="shared" si="20"/>
        <v>3</v>
      </c>
      <c r="Y28" s="256">
        <f t="shared" si="20"/>
        <v>3</v>
      </c>
      <c r="Z28" s="256">
        <f t="shared" si="20"/>
        <v>0</v>
      </c>
      <c r="AA28" s="256">
        <f t="shared" si="20"/>
        <v>0</v>
      </c>
      <c r="AB28" s="256">
        <f t="shared" si="20"/>
        <v>0</v>
      </c>
      <c r="AC28" s="264"/>
      <c r="AD28" s="255" t="s">
        <v>134</v>
      </c>
      <c r="AE28" s="256" t="e">
        <f ca="1">colorcount($E28:$N28,$S$3)+colorcount($E28:$N28,$S$4)+colorcount($E28:$N28,$S$5)+colorcount($E28:$N28,$S$6)+colorcount($E28:$N28,$S$7)+colorcount($E28:$N28,$S$9)+colorcount($E28:$N28,$S$10)+colorcount($E28:$N28,$S$11)+colorcount($E28:$N28,$S$12)</f>
        <v>#NAME?</v>
      </c>
      <c r="AF28" s="256" t="e">
        <f ca="1">colorcount($E28:$N28,$S$15)</f>
        <v>#NAME?</v>
      </c>
      <c r="AG28" s="256" t="e">
        <f ca="1">colorcount($E28:$N28,$S$17)+colorcount($E28:$N28,$S$18)+colorcount($E28:$N28,$S$19)+colorcount($E28:$N28,$S$20)+colorcount($E28:$N28,$S$21)</f>
        <v>#NAME?</v>
      </c>
      <c r="AH28" s="256" t="e">
        <f ca="1">colorcount($E28:$N28,$S$23)</f>
        <v>#NAME?</v>
      </c>
      <c r="AI28" s="256" t="e">
        <f ca="1">colorcount($E28:$N28,$S$26)</f>
        <v>#NAME?</v>
      </c>
      <c r="AJ28" s="256" t="e">
        <f ca="1">colorcount($E28:$N28,$S$28)</f>
        <v>#NAME?</v>
      </c>
      <c r="AK28" s="264"/>
      <c r="AL28" s="255" t="s">
        <v>134</v>
      </c>
      <c r="AM28" s="277" t="e">
        <f t="shared" ref="AM28:AR28" ca="1" si="21">IF(W28=AE28,"O","X")</f>
        <v>#NAME?</v>
      </c>
      <c r="AN28" s="277" t="e">
        <f t="shared" ca="1" si="21"/>
        <v>#NAME?</v>
      </c>
      <c r="AO28" s="277" t="e">
        <f t="shared" ca="1" si="21"/>
        <v>#NAME?</v>
      </c>
      <c r="AP28" s="277" t="e">
        <f t="shared" ca="1" si="21"/>
        <v>#NAME?</v>
      </c>
      <c r="AQ28" s="277" t="e">
        <f t="shared" ca="1" si="21"/>
        <v>#NAME?</v>
      </c>
      <c r="AR28" s="277" t="e">
        <f t="shared" ca="1" si="21"/>
        <v>#NAME?</v>
      </c>
    </row>
    <row r="29" spans="1:44" ht="14.1" customHeight="1">
      <c r="A29" s="513" t="s">
        <v>139</v>
      </c>
      <c r="B29" s="546" t="s">
        <v>140</v>
      </c>
      <c r="C29" s="560"/>
      <c r="D29" s="567"/>
      <c r="E29" s="363" t="s">
        <v>35</v>
      </c>
      <c r="F29" s="215" t="s">
        <v>34</v>
      </c>
      <c r="G29" s="215" t="s">
        <v>34</v>
      </c>
      <c r="H29" s="215" t="s">
        <v>35</v>
      </c>
      <c r="I29" s="215" t="s">
        <v>35</v>
      </c>
      <c r="J29" s="215" t="s">
        <v>34</v>
      </c>
      <c r="K29" s="215" t="s">
        <v>34</v>
      </c>
      <c r="L29" s="215" t="s">
        <v>34</v>
      </c>
      <c r="M29" s="215" t="s">
        <v>35</v>
      </c>
      <c r="N29" s="241" t="s">
        <v>35</v>
      </c>
      <c r="O29" s="352"/>
      <c r="P29" s="353"/>
      <c r="Q29" s="356"/>
      <c r="R29" s="102"/>
      <c r="V29" s="253" t="s">
        <v>38</v>
      </c>
      <c r="W29" s="253" t="s">
        <v>35</v>
      </c>
      <c r="X29" s="253" t="s">
        <v>39</v>
      </c>
      <c r="Y29" s="275" t="s">
        <v>34</v>
      </c>
      <c r="Z29" s="275" t="s">
        <v>36</v>
      </c>
      <c r="AA29" s="275" t="s">
        <v>40</v>
      </c>
      <c r="AB29" s="275" t="s">
        <v>41</v>
      </c>
      <c r="AC29" s="264"/>
      <c r="AD29" s="253" t="s">
        <v>38</v>
      </c>
      <c r="AE29" s="253" t="s">
        <v>35</v>
      </c>
      <c r="AF29" s="253" t="s">
        <v>39</v>
      </c>
      <c r="AG29" s="275" t="s">
        <v>34</v>
      </c>
      <c r="AH29" s="275" t="s">
        <v>36</v>
      </c>
      <c r="AI29" s="275" t="s">
        <v>40</v>
      </c>
      <c r="AJ29" s="275" t="s">
        <v>41</v>
      </c>
      <c r="AK29" s="264"/>
      <c r="AL29" s="253" t="s">
        <v>38</v>
      </c>
      <c r="AM29" s="276" t="s">
        <v>35</v>
      </c>
      <c r="AN29" s="276" t="s">
        <v>39</v>
      </c>
      <c r="AO29" s="275" t="s">
        <v>34</v>
      </c>
      <c r="AP29" s="275" t="s">
        <v>36</v>
      </c>
      <c r="AQ29" s="275" t="s">
        <v>40</v>
      </c>
      <c r="AR29" s="275" t="s">
        <v>41</v>
      </c>
    </row>
    <row r="30" spans="1:44" ht="30" customHeight="1">
      <c r="A30" s="513"/>
      <c r="B30" s="546"/>
      <c r="C30" s="560"/>
      <c r="D30" s="567"/>
      <c r="E30" s="37" t="s">
        <v>141</v>
      </c>
      <c r="F30" s="57" t="s">
        <v>142</v>
      </c>
      <c r="G30" s="57" t="s">
        <v>1664</v>
      </c>
      <c r="H30" s="38" t="s">
        <v>144</v>
      </c>
      <c r="I30" s="38" t="s">
        <v>145</v>
      </c>
      <c r="J30" s="60" t="s">
        <v>146</v>
      </c>
      <c r="K30" s="57" t="s">
        <v>147</v>
      </c>
      <c r="L30" s="57" t="s">
        <v>148</v>
      </c>
      <c r="M30" s="46" t="s">
        <v>1658</v>
      </c>
      <c r="N30" s="77" t="s">
        <v>149</v>
      </c>
      <c r="O30" s="408"/>
      <c r="P30" s="422" t="s">
        <v>1564</v>
      </c>
      <c r="Q30" s="395" t="s">
        <v>864</v>
      </c>
      <c r="R30" s="102"/>
      <c r="V30" s="255" t="s">
        <v>140</v>
      </c>
      <c r="W30" s="256">
        <f t="shared" ref="W30:AB30" si="22">COUNTIF($E29:$N29,W29)</f>
        <v>5</v>
      </c>
      <c r="X30" s="256">
        <f t="shared" si="22"/>
        <v>0</v>
      </c>
      <c r="Y30" s="256">
        <f t="shared" si="22"/>
        <v>5</v>
      </c>
      <c r="Z30" s="256">
        <f t="shared" si="22"/>
        <v>0</v>
      </c>
      <c r="AA30" s="256">
        <f t="shared" si="22"/>
        <v>0</v>
      </c>
      <c r="AB30" s="256">
        <f t="shared" si="22"/>
        <v>0</v>
      </c>
      <c r="AC30" s="264"/>
      <c r="AD30" s="255" t="s">
        <v>140</v>
      </c>
      <c r="AE30" s="256" t="e">
        <f ca="1">colorcount($E30:$N30,$S$3)+colorcount($E30:$N30,$S$4)+colorcount($E30:$N30,$S$5)+colorcount($E30:$N30,$S$6)+colorcount($E30:$N30,$S$7)+colorcount($E30:$N30,$S$9)+colorcount($E30:$N30,$S$10)+colorcount($E30:$N30,$S$11)+colorcount($E30:$N30,$S$12)</f>
        <v>#NAME?</v>
      </c>
      <c r="AF30" s="256" t="e">
        <f ca="1">colorcount($E30:$N30,$S$15)</f>
        <v>#NAME?</v>
      </c>
      <c r="AG30" s="256" t="e">
        <f ca="1">colorcount($E30:$N30,$S$17)+colorcount($E30:$N30,$S$18)+colorcount($E30:$N30,$S$19)+colorcount($E30:$N30,$S$20)+colorcount($E30:$N30,$S$21)</f>
        <v>#NAME?</v>
      </c>
      <c r="AH30" s="256" t="e">
        <f ca="1">colorcount($E30:$N30,$S$23)</f>
        <v>#NAME?</v>
      </c>
      <c r="AI30" s="256" t="e">
        <f ca="1">colorcount($E30:$N30,$S$26)</f>
        <v>#NAME?</v>
      </c>
      <c r="AJ30" s="256" t="e">
        <f ca="1">colorcount($E30:$N30,$S$28)</f>
        <v>#NAME?</v>
      </c>
      <c r="AK30" s="264"/>
      <c r="AL30" s="255" t="s">
        <v>140</v>
      </c>
      <c r="AM30" s="277" t="e">
        <f t="shared" ref="AM30:AR30" ca="1" si="23">IF(W30=AE30,"O","X")</f>
        <v>#NAME?</v>
      </c>
      <c r="AN30" s="277" t="e">
        <f t="shared" ca="1" si="23"/>
        <v>#NAME?</v>
      </c>
      <c r="AO30" s="277" t="e">
        <f t="shared" ca="1" si="23"/>
        <v>#NAME?</v>
      </c>
      <c r="AP30" s="277" t="e">
        <f t="shared" ca="1" si="23"/>
        <v>#NAME?</v>
      </c>
      <c r="AQ30" s="277" t="e">
        <f t="shared" ca="1" si="23"/>
        <v>#NAME?</v>
      </c>
      <c r="AR30" s="277" t="e">
        <f t="shared" ca="1" si="23"/>
        <v>#NAME?</v>
      </c>
    </row>
    <row r="31" spans="1:44" ht="14.1" customHeight="1">
      <c r="A31" s="513" t="s">
        <v>151</v>
      </c>
      <c r="B31" s="546" t="s">
        <v>152</v>
      </c>
      <c r="C31" s="560"/>
      <c r="D31" s="567"/>
      <c r="E31" s="363" t="s">
        <v>35</v>
      </c>
      <c r="F31" s="215" t="s">
        <v>35</v>
      </c>
      <c r="G31" s="215" t="s">
        <v>34</v>
      </c>
      <c r="H31" s="218" t="s">
        <v>36</v>
      </c>
      <c r="I31" s="215" t="s">
        <v>34</v>
      </c>
      <c r="J31" s="215" t="s">
        <v>34</v>
      </c>
      <c r="K31" s="215" t="s">
        <v>35</v>
      </c>
      <c r="L31" s="215" t="s">
        <v>35</v>
      </c>
      <c r="M31" s="215" t="s">
        <v>35</v>
      </c>
      <c r="N31" s="241" t="s">
        <v>35</v>
      </c>
      <c r="O31" s="409"/>
      <c r="P31" s="353"/>
      <c r="Q31" s="356"/>
      <c r="R31" s="102"/>
      <c r="V31" s="253" t="s">
        <v>38</v>
      </c>
      <c r="W31" s="253" t="s">
        <v>35</v>
      </c>
      <c r="X31" s="253" t="s">
        <v>39</v>
      </c>
      <c r="Y31" s="275" t="s">
        <v>34</v>
      </c>
      <c r="Z31" s="275" t="s">
        <v>36</v>
      </c>
      <c r="AA31" s="275" t="s">
        <v>40</v>
      </c>
      <c r="AB31" s="275" t="s">
        <v>41</v>
      </c>
      <c r="AC31" s="264"/>
      <c r="AD31" s="253" t="s">
        <v>38</v>
      </c>
      <c r="AE31" s="253" t="s">
        <v>35</v>
      </c>
      <c r="AF31" s="253" t="s">
        <v>39</v>
      </c>
      <c r="AG31" s="275" t="s">
        <v>34</v>
      </c>
      <c r="AH31" s="275" t="s">
        <v>36</v>
      </c>
      <c r="AI31" s="275" t="s">
        <v>40</v>
      </c>
      <c r="AJ31" s="275" t="s">
        <v>41</v>
      </c>
      <c r="AK31" s="264"/>
      <c r="AL31" s="253" t="s">
        <v>38</v>
      </c>
      <c r="AM31" s="276" t="s">
        <v>35</v>
      </c>
      <c r="AN31" s="276" t="s">
        <v>39</v>
      </c>
      <c r="AO31" s="275" t="s">
        <v>34</v>
      </c>
      <c r="AP31" s="275" t="s">
        <v>36</v>
      </c>
      <c r="AQ31" s="275" t="s">
        <v>40</v>
      </c>
      <c r="AR31" s="275" t="s">
        <v>41</v>
      </c>
    </row>
    <row r="32" spans="1:44" ht="30" customHeight="1">
      <c r="A32" s="513"/>
      <c r="B32" s="546"/>
      <c r="C32" s="560"/>
      <c r="D32" s="567"/>
      <c r="E32" s="37" t="s">
        <v>1555</v>
      </c>
      <c r="F32" s="38" t="s">
        <v>153</v>
      </c>
      <c r="G32" s="60" t="s">
        <v>55</v>
      </c>
      <c r="H32" s="220" t="s">
        <v>46</v>
      </c>
      <c r="I32" s="57" t="s">
        <v>60</v>
      </c>
      <c r="J32" s="57" t="s">
        <v>1664</v>
      </c>
      <c r="K32" s="87" t="s">
        <v>1656</v>
      </c>
      <c r="L32" s="38" t="s">
        <v>1569</v>
      </c>
      <c r="M32" s="38" t="s">
        <v>1577</v>
      </c>
      <c r="N32" s="82" t="s">
        <v>1767</v>
      </c>
      <c r="O32" s="412"/>
      <c r="P32" s="422" t="s">
        <v>561</v>
      </c>
      <c r="Q32" s="395" t="s">
        <v>864</v>
      </c>
      <c r="R32" s="102"/>
      <c r="V32" s="255" t="s">
        <v>155</v>
      </c>
      <c r="W32" s="256">
        <f t="shared" ref="W32:AB32" si="24">COUNTIF($E31:$N31,W31)</f>
        <v>6</v>
      </c>
      <c r="X32" s="256">
        <f t="shared" si="24"/>
        <v>0</v>
      </c>
      <c r="Y32" s="256">
        <f t="shared" si="24"/>
        <v>3</v>
      </c>
      <c r="Z32" s="256">
        <f t="shared" si="24"/>
        <v>1</v>
      </c>
      <c r="AA32" s="256">
        <f t="shared" si="24"/>
        <v>0</v>
      </c>
      <c r="AB32" s="256">
        <f t="shared" si="24"/>
        <v>0</v>
      </c>
      <c r="AC32" s="264"/>
      <c r="AD32" s="255" t="s">
        <v>155</v>
      </c>
      <c r="AE32" s="256" t="e">
        <f ca="1">colorcount($E32:$N32,$S$3)+colorcount($E32:$N32,$S$4)+colorcount($E32:$N32,$S$5)+colorcount($E32:$N32,$S$6)+colorcount($E32:$N32,$S$7)+colorcount($E32:$N32,$S$9)+colorcount($E32:$N32,$S$10)+colorcount($E32:$N32,$S$11)+colorcount($E32:$N32,$S$12)</f>
        <v>#NAME?</v>
      </c>
      <c r="AF32" s="256" t="e">
        <f ca="1">colorcount($E32:$N32,$S$15)</f>
        <v>#NAME?</v>
      </c>
      <c r="AG32" s="256" t="e">
        <f ca="1">colorcount($E32:$N32,$S$17)+colorcount($E32:$N32,$S$18)+colorcount($E32:$N32,$S$19)+colorcount($E32:$N32,$S$20)+colorcount($E32:$N32,$S$21)</f>
        <v>#NAME?</v>
      </c>
      <c r="AH32" s="256" t="e">
        <f ca="1">colorcount($E32:$N32,$S$23)</f>
        <v>#NAME?</v>
      </c>
      <c r="AI32" s="256" t="e">
        <f ca="1">colorcount($E32:$N32,$S$26)</f>
        <v>#NAME?</v>
      </c>
      <c r="AJ32" s="256" t="e">
        <f ca="1">colorcount($E32:$N32,$S$28)</f>
        <v>#NAME?</v>
      </c>
      <c r="AK32" s="264"/>
      <c r="AL32" s="255" t="s">
        <v>155</v>
      </c>
      <c r="AM32" s="277" t="e">
        <f t="shared" ref="AM32:AR32" ca="1" si="25">IF(W32=AE32,"O","X")</f>
        <v>#NAME?</v>
      </c>
      <c r="AN32" s="277" t="e">
        <f t="shared" ca="1" si="25"/>
        <v>#NAME?</v>
      </c>
      <c r="AO32" s="277" t="e">
        <f t="shared" ca="1" si="25"/>
        <v>#NAME?</v>
      </c>
      <c r="AP32" s="277" t="e">
        <f t="shared" ca="1" si="25"/>
        <v>#NAME?</v>
      </c>
      <c r="AQ32" s="277" t="e">
        <f t="shared" ca="1" si="25"/>
        <v>#NAME?</v>
      </c>
      <c r="AR32" s="277" t="e">
        <f t="shared" ca="1" si="25"/>
        <v>#NAME?</v>
      </c>
    </row>
    <row r="33" spans="1:44" ht="14.1" customHeight="1">
      <c r="A33" s="513" t="s">
        <v>156</v>
      </c>
      <c r="B33" s="546" t="s">
        <v>157</v>
      </c>
      <c r="C33" s="563"/>
      <c r="D33" s="570"/>
      <c r="E33" s="363" t="s">
        <v>34</v>
      </c>
      <c r="F33" s="215" t="s">
        <v>34</v>
      </c>
      <c r="G33" s="215" t="s">
        <v>34</v>
      </c>
      <c r="H33" s="215" t="s">
        <v>35</v>
      </c>
      <c r="I33" s="215" t="s">
        <v>35</v>
      </c>
      <c r="J33" s="215" t="s">
        <v>34</v>
      </c>
      <c r="K33" s="215" t="s">
        <v>34</v>
      </c>
      <c r="L33" s="215" t="s">
        <v>35</v>
      </c>
      <c r="M33" s="215" t="s">
        <v>35</v>
      </c>
      <c r="N33" s="241" t="s">
        <v>35</v>
      </c>
      <c r="O33" s="409"/>
      <c r="P33" s="421"/>
      <c r="Q33" s="426"/>
      <c r="R33" s="102"/>
      <c r="V33" s="253" t="s">
        <v>38</v>
      </c>
      <c r="W33" s="253" t="s">
        <v>35</v>
      </c>
      <c r="X33" s="253" t="s">
        <v>39</v>
      </c>
      <c r="Y33" s="275" t="s">
        <v>34</v>
      </c>
      <c r="Z33" s="275" t="s">
        <v>36</v>
      </c>
      <c r="AA33" s="275" t="s">
        <v>40</v>
      </c>
      <c r="AB33" s="275" t="s">
        <v>41</v>
      </c>
      <c r="AC33" s="264"/>
      <c r="AD33" s="253" t="s">
        <v>38</v>
      </c>
      <c r="AE33" s="253" t="s">
        <v>35</v>
      </c>
      <c r="AF33" s="253" t="s">
        <v>39</v>
      </c>
      <c r="AG33" s="275" t="s">
        <v>34</v>
      </c>
      <c r="AH33" s="275" t="s">
        <v>36</v>
      </c>
      <c r="AI33" s="275" t="s">
        <v>40</v>
      </c>
      <c r="AJ33" s="275" t="s">
        <v>41</v>
      </c>
      <c r="AK33" s="264"/>
      <c r="AL33" s="253" t="s">
        <v>38</v>
      </c>
      <c r="AM33" s="276" t="s">
        <v>35</v>
      </c>
      <c r="AN33" s="276" t="s">
        <v>39</v>
      </c>
      <c r="AO33" s="275" t="s">
        <v>34</v>
      </c>
      <c r="AP33" s="275" t="s">
        <v>36</v>
      </c>
      <c r="AQ33" s="275" t="s">
        <v>40</v>
      </c>
      <c r="AR33" s="275" t="s">
        <v>41</v>
      </c>
    </row>
    <row r="34" spans="1:44" ht="30" customHeight="1">
      <c r="A34" s="513"/>
      <c r="B34" s="546"/>
      <c r="C34" s="563"/>
      <c r="D34" s="570"/>
      <c r="E34" s="365" t="s">
        <v>55</v>
      </c>
      <c r="F34" s="57" t="s">
        <v>1756</v>
      </c>
      <c r="G34" s="57" t="s">
        <v>128</v>
      </c>
      <c r="H34" s="40" t="s">
        <v>158</v>
      </c>
      <c r="I34" s="44" t="s">
        <v>159</v>
      </c>
      <c r="J34" s="57" t="s">
        <v>1553</v>
      </c>
      <c r="K34" s="57" t="s">
        <v>1664</v>
      </c>
      <c r="L34" s="38" t="s">
        <v>160</v>
      </c>
      <c r="M34" s="43" t="s">
        <v>161</v>
      </c>
      <c r="N34" s="457" t="s">
        <v>162</v>
      </c>
      <c r="O34" s="412"/>
      <c r="P34" s="422" t="s">
        <v>458</v>
      </c>
      <c r="Q34" s="395" t="s">
        <v>864</v>
      </c>
      <c r="R34" s="102"/>
      <c r="V34" s="255" t="s">
        <v>157</v>
      </c>
      <c r="W34" s="256">
        <f t="shared" ref="W34:AB34" si="26">COUNTIF($E33:$N33,W33)</f>
        <v>5</v>
      </c>
      <c r="X34" s="256">
        <f t="shared" si="26"/>
        <v>0</v>
      </c>
      <c r="Y34" s="256">
        <f t="shared" si="26"/>
        <v>5</v>
      </c>
      <c r="Z34" s="256">
        <f t="shared" si="26"/>
        <v>0</v>
      </c>
      <c r="AA34" s="256">
        <f t="shared" si="26"/>
        <v>0</v>
      </c>
      <c r="AB34" s="256">
        <f t="shared" si="26"/>
        <v>0</v>
      </c>
      <c r="AC34" s="264"/>
      <c r="AD34" s="255" t="s">
        <v>157</v>
      </c>
      <c r="AE34" s="256" t="e">
        <f ca="1">colorcount($E34:$N34,$S$3)+colorcount($E34:$N34,$S$4)+colorcount($E34:$N34,$S$5)+colorcount($E34:$N34,$S$6)+colorcount($E34:$N34,$S$7)+colorcount($E34:$N34,$S$9)+colorcount($E34:$N34,$S$10)+colorcount($E34:$N34,$S$11)+colorcount($E34:$N34,$S$12)</f>
        <v>#NAME?</v>
      </c>
      <c r="AF34" s="256" t="e">
        <f ca="1">colorcount($E34:$N34,$S$15)</f>
        <v>#NAME?</v>
      </c>
      <c r="AG34" s="256" t="e">
        <f ca="1">colorcount($E34:$N34,$S$17)+colorcount($E34:$N34,$S$18)+colorcount($E34:$N34,$S$19)+colorcount($E34:$N34,$S$20)+colorcount($E34:$N34,$S$21)</f>
        <v>#NAME?</v>
      </c>
      <c r="AH34" s="256" t="e">
        <f ca="1">colorcount($E34:$N34,$S$23)</f>
        <v>#NAME?</v>
      </c>
      <c r="AI34" s="256" t="e">
        <f ca="1">colorcount($E34:$N34,$S$26)</f>
        <v>#NAME?</v>
      </c>
      <c r="AJ34" s="256" t="e">
        <f ca="1">colorcount($E34:$N34,$S$28)</f>
        <v>#NAME?</v>
      </c>
      <c r="AK34" s="264"/>
      <c r="AL34" s="255" t="s">
        <v>157</v>
      </c>
      <c r="AM34" s="277" t="e">
        <f t="shared" ref="AM34:AR34" ca="1" si="27">IF(W34=AE34,"O","X")</f>
        <v>#NAME?</v>
      </c>
      <c r="AN34" s="277" t="e">
        <f t="shared" ca="1" si="27"/>
        <v>#NAME?</v>
      </c>
      <c r="AO34" s="277" t="e">
        <f t="shared" ca="1" si="27"/>
        <v>#NAME?</v>
      </c>
      <c r="AP34" s="277" t="e">
        <f t="shared" ca="1" si="27"/>
        <v>#NAME?</v>
      </c>
      <c r="AQ34" s="277" t="e">
        <f t="shared" ca="1" si="27"/>
        <v>#NAME?</v>
      </c>
      <c r="AR34" s="277" t="e">
        <f t="shared" ca="1" si="27"/>
        <v>#NAME?</v>
      </c>
    </row>
    <row r="35" spans="1:44" ht="14.1" customHeight="1">
      <c r="A35" s="513" t="s">
        <v>164</v>
      </c>
      <c r="B35" s="546" t="s">
        <v>165</v>
      </c>
      <c r="C35" s="560"/>
      <c r="D35" s="567"/>
      <c r="E35" s="363" t="s">
        <v>34</v>
      </c>
      <c r="F35" s="215" t="s">
        <v>35</v>
      </c>
      <c r="G35" s="215" t="s">
        <v>34</v>
      </c>
      <c r="H35" s="215" t="s">
        <v>35</v>
      </c>
      <c r="I35" s="215" t="s">
        <v>34</v>
      </c>
      <c r="J35" s="215" t="s">
        <v>39</v>
      </c>
      <c r="K35" s="215" t="s">
        <v>35</v>
      </c>
      <c r="L35" s="215" t="s">
        <v>34</v>
      </c>
      <c r="M35" s="218" t="s">
        <v>36</v>
      </c>
      <c r="N35" s="243" t="s">
        <v>36</v>
      </c>
      <c r="O35" s="409"/>
      <c r="P35" s="353"/>
      <c r="Q35" s="356"/>
      <c r="R35" s="102"/>
      <c r="V35" s="253" t="s">
        <v>38</v>
      </c>
      <c r="W35" s="253" t="s">
        <v>35</v>
      </c>
      <c r="X35" s="253" t="s">
        <v>39</v>
      </c>
      <c r="Y35" s="275" t="s">
        <v>34</v>
      </c>
      <c r="Z35" s="275" t="s">
        <v>36</v>
      </c>
      <c r="AA35" s="275" t="s">
        <v>40</v>
      </c>
      <c r="AB35" s="275" t="s">
        <v>41</v>
      </c>
      <c r="AC35" s="264"/>
      <c r="AD35" s="253" t="s">
        <v>38</v>
      </c>
      <c r="AE35" s="253" t="s">
        <v>35</v>
      </c>
      <c r="AF35" s="253" t="s">
        <v>39</v>
      </c>
      <c r="AG35" s="275" t="s">
        <v>34</v>
      </c>
      <c r="AH35" s="275" t="s">
        <v>36</v>
      </c>
      <c r="AI35" s="275" t="s">
        <v>40</v>
      </c>
      <c r="AJ35" s="275" t="s">
        <v>41</v>
      </c>
      <c r="AK35" s="264"/>
      <c r="AL35" s="253" t="s">
        <v>38</v>
      </c>
      <c r="AM35" s="276" t="s">
        <v>35</v>
      </c>
      <c r="AN35" s="276" t="s">
        <v>39</v>
      </c>
      <c r="AO35" s="275" t="s">
        <v>34</v>
      </c>
      <c r="AP35" s="275" t="s">
        <v>36</v>
      </c>
      <c r="AQ35" s="275" t="s">
        <v>40</v>
      </c>
      <c r="AR35" s="275" t="s">
        <v>41</v>
      </c>
    </row>
    <row r="36" spans="1:44" ht="30" customHeight="1">
      <c r="A36" s="513"/>
      <c r="B36" s="546"/>
      <c r="C36" s="560"/>
      <c r="D36" s="567"/>
      <c r="E36" s="56" t="s">
        <v>90</v>
      </c>
      <c r="F36" s="38" t="s">
        <v>166</v>
      </c>
      <c r="G36" s="60" t="s">
        <v>167</v>
      </c>
      <c r="H36" s="38" t="s">
        <v>45</v>
      </c>
      <c r="I36" s="60" t="s">
        <v>78</v>
      </c>
      <c r="J36" s="221" t="s">
        <v>58</v>
      </c>
      <c r="K36" s="38" t="s">
        <v>168</v>
      </c>
      <c r="L36" s="57" t="s">
        <v>89</v>
      </c>
      <c r="M36" s="220" t="s">
        <v>46</v>
      </c>
      <c r="N36" s="239" t="s">
        <v>46</v>
      </c>
      <c r="O36" s="412"/>
      <c r="P36" s="422" t="s">
        <v>522</v>
      </c>
      <c r="Q36" s="395" t="s">
        <v>864</v>
      </c>
      <c r="R36" s="102"/>
      <c r="V36" s="255" t="s">
        <v>165</v>
      </c>
      <c r="W36" s="256">
        <f t="shared" ref="W36:AB36" si="28">COUNTIF($E35:$N35,W35)</f>
        <v>3</v>
      </c>
      <c r="X36" s="256">
        <f t="shared" si="28"/>
        <v>1</v>
      </c>
      <c r="Y36" s="256">
        <f t="shared" si="28"/>
        <v>4</v>
      </c>
      <c r="Z36" s="256">
        <f t="shared" si="28"/>
        <v>2</v>
      </c>
      <c r="AA36" s="256">
        <f t="shared" si="28"/>
        <v>0</v>
      </c>
      <c r="AB36" s="256">
        <f t="shared" si="28"/>
        <v>0</v>
      </c>
      <c r="AC36" s="264"/>
      <c r="AD36" s="255" t="s">
        <v>165</v>
      </c>
      <c r="AE36" s="256" t="e">
        <f ca="1">colorcount($E36:$N36,$S$3)+colorcount($E36:$N36,$S$4)+colorcount($E36:$N36,$S$5)+colorcount($E36:$N36,$S$6)+colorcount($E36:$N36,$S$7)+colorcount($E36:$N36,$S$9)+colorcount($E36:$N36,$S$10)+colorcount($E36:$N36,$S$11)+colorcount($E36:$N36,$S$12)</f>
        <v>#NAME?</v>
      </c>
      <c r="AF36" s="256" t="e">
        <f ca="1">colorcount($E36:$N36,$S$15)</f>
        <v>#NAME?</v>
      </c>
      <c r="AG36" s="256" t="e">
        <f ca="1">colorcount($E36:$N36,$S$17)+colorcount($E36:$N36,$S$18)+colorcount($E36:$N36,$S$19)+colorcount($E36:$N36,$S$20)+colorcount($E36:$N36,$S$21)</f>
        <v>#NAME?</v>
      </c>
      <c r="AH36" s="256" t="e">
        <f ca="1">colorcount($E36:$N36,$S$23)</f>
        <v>#NAME?</v>
      </c>
      <c r="AI36" s="256" t="e">
        <f ca="1">colorcount($E36:$N36,$S$26)</f>
        <v>#NAME?</v>
      </c>
      <c r="AJ36" s="256" t="e">
        <f ca="1">colorcount($E36:$N36,$S$28)</f>
        <v>#NAME?</v>
      </c>
      <c r="AK36" s="264"/>
      <c r="AL36" s="255" t="s">
        <v>165</v>
      </c>
      <c r="AM36" s="277" t="e">
        <f t="shared" ref="AM36:AR36" ca="1" si="29">IF(W36=AE36,"O","X")</f>
        <v>#NAME?</v>
      </c>
      <c r="AN36" s="277" t="e">
        <f t="shared" ca="1" si="29"/>
        <v>#NAME?</v>
      </c>
      <c r="AO36" s="277" t="e">
        <f t="shared" ca="1" si="29"/>
        <v>#NAME?</v>
      </c>
      <c r="AP36" s="277" t="e">
        <f t="shared" ca="1" si="29"/>
        <v>#NAME?</v>
      </c>
      <c r="AQ36" s="277" t="e">
        <f t="shared" ca="1" si="29"/>
        <v>#NAME?</v>
      </c>
      <c r="AR36" s="277" t="e">
        <f t="shared" ca="1" si="29"/>
        <v>#NAME?</v>
      </c>
    </row>
    <row r="37" spans="1:44" ht="30" customHeight="1">
      <c r="A37" s="491"/>
      <c r="B37" s="492" t="s">
        <v>1596</v>
      </c>
      <c r="C37" s="493"/>
      <c r="D37" s="494"/>
      <c r="E37" s="364" t="s">
        <v>48</v>
      </c>
      <c r="F37" s="217" t="s">
        <v>48</v>
      </c>
      <c r="G37" s="217" t="s">
        <v>48</v>
      </c>
      <c r="H37" s="217" t="s">
        <v>48</v>
      </c>
      <c r="I37" s="217" t="s">
        <v>48</v>
      </c>
      <c r="J37" s="46" t="s">
        <v>1781</v>
      </c>
      <c r="K37" s="217" t="s">
        <v>48</v>
      </c>
      <c r="L37" s="217" t="s">
        <v>48</v>
      </c>
      <c r="M37" s="217" t="s">
        <v>48</v>
      </c>
      <c r="N37" s="242" t="s">
        <v>48</v>
      </c>
      <c r="O37" s="412"/>
      <c r="P37" s="422"/>
      <c r="Q37" s="395"/>
      <c r="R37" s="102"/>
      <c r="V37" s="255"/>
      <c r="W37" s="256"/>
      <c r="X37" s="256"/>
      <c r="Y37" s="256"/>
      <c r="Z37" s="256"/>
      <c r="AA37" s="256"/>
      <c r="AB37" s="256"/>
      <c r="AC37" s="264"/>
      <c r="AD37" s="255"/>
      <c r="AE37" s="256"/>
      <c r="AF37" s="256"/>
      <c r="AG37" s="256"/>
      <c r="AH37" s="256"/>
      <c r="AI37" s="256"/>
      <c r="AJ37" s="256"/>
      <c r="AK37" s="264"/>
      <c r="AL37" s="255"/>
      <c r="AM37" s="277"/>
      <c r="AN37" s="277"/>
      <c r="AO37" s="277"/>
      <c r="AP37" s="277"/>
      <c r="AQ37" s="277"/>
      <c r="AR37" s="277"/>
    </row>
    <row r="38" spans="1:44" ht="14.1" customHeight="1">
      <c r="A38" s="513" t="s">
        <v>170</v>
      </c>
      <c r="B38" s="546" t="s">
        <v>171</v>
      </c>
      <c r="C38" s="560"/>
      <c r="D38" s="567"/>
      <c r="E38" s="363" t="s">
        <v>39</v>
      </c>
      <c r="F38" s="215" t="s">
        <v>39</v>
      </c>
      <c r="G38" s="215" t="s">
        <v>34</v>
      </c>
      <c r="H38" s="218" t="s">
        <v>36</v>
      </c>
      <c r="I38" s="215" t="s">
        <v>34</v>
      </c>
      <c r="J38" s="215" t="s">
        <v>35</v>
      </c>
      <c r="K38" s="215" t="s">
        <v>35</v>
      </c>
      <c r="L38" s="215" t="s">
        <v>35</v>
      </c>
      <c r="M38" s="215" t="s">
        <v>35</v>
      </c>
      <c r="N38" s="241" t="s">
        <v>35</v>
      </c>
      <c r="O38" s="409"/>
      <c r="P38" s="421"/>
      <c r="Q38" s="356"/>
      <c r="R38" s="102"/>
      <c r="V38" s="253" t="s">
        <v>38</v>
      </c>
      <c r="W38" s="253" t="s">
        <v>35</v>
      </c>
      <c r="X38" s="253" t="s">
        <v>39</v>
      </c>
      <c r="Y38" s="275" t="s">
        <v>34</v>
      </c>
      <c r="Z38" s="275" t="s">
        <v>36</v>
      </c>
      <c r="AA38" s="275" t="s">
        <v>40</v>
      </c>
      <c r="AB38" s="275" t="s">
        <v>41</v>
      </c>
      <c r="AC38" s="264"/>
      <c r="AD38" s="253" t="s">
        <v>38</v>
      </c>
      <c r="AE38" s="253" t="s">
        <v>35</v>
      </c>
      <c r="AF38" s="253" t="s">
        <v>39</v>
      </c>
      <c r="AG38" s="275" t="s">
        <v>34</v>
      </c>
      <c r="AH38" s="275" t="s">
        <v>36</v>
      </c>
      <c r="AI38" s="275" t="s">
        <v>40</v>
      </c>
      <c r="AJ38" s="275" t="s">
        <v>41</v>
      </c>
      <c r="AK38" s="264"/>
      <c r="AL38" s="253" t="s">
        <v>38</v>
      </c>
      <c r="AM38" s="276" t="s">
        <v>35</v>
      </c>
      <c r="AN38" s="276" t="s">
        <v>39</v>
      </c>
      <c r="AO38" s="275" t="s">
        <v>34</v>
      </c>
      <c r="AP38" s="275" t="s">
        <v>36</v>
      </c>
      <c r="AQ38" s="275" t="s">
        <v>40</v>
      </c>
      <c r="AR38" s="275" t="s">
        <v>41</v>
      </c>
    </row>
    <row r="39" spans="1:44" ht="30" customHeight="1">
      <c r="A39" s="513"/>
      <c r="B39" s="546"/>
      <c r="C39" s="560"/>
      <c r="D39" s="567"/>
      <c r="E39" s="369" t="s">
        <v>58</v>
      </c>
      <c r="F39" s="221" t="s">
        <v>172</v>
      </c>
      <c r="G39" s="57" t="s">
        <v>173</v>
      </c>
      <c r="H39" s="220" t="s">
        <v>46</v>
      </c>
      <c r="I39" s="57" t="s">
        <v>91</v>
      </c>
      <c r="J39" s="38" t="s">
        <v>174</v>
      </c>
      <c r="K39" s="50" t="s">
        <v>175</v>
      </c>
      <c r="L39" s="38" t="s">
        <v>176</v>
      </c>
      <c r="M39" s="42" t="s">
        <v>177</v>
      </c>
      <c r="N39" s="77" t="s">
        <v>178</v>
      </c>
      <c r="O39" s="412"/>
      <c r="P39" s="424" t="s">
        <v>449</v>
      </c>
      <c r="Q39" s="395" t="s">
        <v>864</v>
      </c>
      <c r="R39" s="102"/>
      <c r="V39" s="255" t="s">
        <v>171</v>
      </c>
      <c r="W39" s="256">
        <f t="shared" ref="W39:AB39" si="30">COUNTIF($E38:$N38,W38)</f>
        <v>5</v>
      </c>
      <c r="X39" s="256">
        <f t="shared" si="30"/>
        <v>2</v>
      </c>
      <c r="Y39" s="256">
        <f t="shared" si="30"/>
        <v>2</v>
      </c>
      <c r="Z39" s="256">
        <f t="shared" si="30"/>
        <v>1</v>
      </c>
      <c r="AA39" s="256">
        <f t="shared" si="30"/>
        <v>0</v>
      </c>
      <c r="AB39" s="256">
        <f t="shared" si="30"/>
        <v>0</v>
      </c>
      <c r="AC39" s="264"/>
      <c r="AD39" s="255" t="s">
        <v>171</v>
      </c>
      <c r="AE39" s="256" t="e">
        <f ca="1">colorcount($E39:$N39,$S$3)+colorcount($E39:$N39,$S$4)+colorcount($E39:$N39,$S$5)+colorcount($E39:$N39,$S$6)+colorcount($E39:$N39,$S$7)+colorcount($E39:$N39,$S$9)+colorcount($E39:$N39,$S$10)+colorcount($E39:$N39,$S$11)+colorcount($E39:$N39,$S$12)</f>
        <v>#NAME?</v>
      </c>
      <c r="AF39" s="256" t="e">
        <f ca="1">colorcount($E39:$N39,$S$15)</f>
        <v>#NAME?</v>
      </c>
      <c r="AG39" s="256" t="e">
        <f ca="1">colorcount($E39:$N39,$S$17)+colorcount($E39:$N39,$S$18)+colorcount($E39:$N39,$S$19)+colorcount($E39:$N39,$S$20)+colorcount($E39:$N39,$S$21)</f>
        <v>#NAME?</v>
      </c>
      <c r="AH39" s="256" t="e">
        <f ca="1">colorcount($E39:$N39,$S$23)</f>
        <v>#NAME?</v>
      </c>
      <c r="AI39" s="256" t="e">
        <f ca="1">colorcount($E39:$N39,$S$26)</f>
        <v>#NAME?</v>
      </c>
      <c r="AJ39" s="256" t="e">
        <f ca="1">colorcount($E39:$N39,$S$28)</f>
        <v>#NAME?</v>
      </c>
      <c r="AK39" s="264"/>
      <c r="AL39" s="255" t="s">
        <v>171</v>
      </c>
      <c r="AM39" s="277" t="e">
        <f t="shared" ref="AM39:AR39" ca="1" si="31">IF(W39=AE39,"O","X")</f>
        <v>#NAME?</v>
      </c>
      <c r="AN39" s="277" t="e">
        <f t="shared" ca="1" si="31"/>
        <v>#NAME?</v>
      </c>
      <c r="AO39" s="277" t="e">
        <f t="shared" ca="1" si="31"/>
        <v>#NAME?</v>
      </c>
      <c r="AP39" s="277" t="e">
        <f t="shared" ca="1" si="31"/>
        <v>#NAME?</v>
      </c>
      <c r="AQ39" s="277" t="e">
        <f t="shared" ca="1" si="31"/>
        <v>#NAME?</v>
      </c>
      <c r="AR39" s="277" t="e">
        <f t="shared" ca="1" si="31"/>
        <v>#NAME?</v>
      </c>
    </row>
    <row r="40" spans="1:44" ht="30" customHeight="1">
      <c r="A40" s="212"/>
      <c r="B40" s="225" t="s">
        <v>1779</v>
      </c>
      <c r="C40" s="213"/>
      <c r="D40" s="360"/>
      <c r="E40" s="51" t="s">
        <v>1759</v>
      </c>
      <c r="F40" s="46" t="s">
        <v>1670</v>
      </c>
      <c r="G40" s="217" t="s">
        <v>48</v>
      </c>
      <c r="H40" s="38" t="s">
        <v>1742</v>
      </c>
      <c r="I40" s="217" t="s">
        <v>48</v>
      </c>
      <c r="J40" s="217" t="s">
        <v>48</v>
      </c>
      <c r="K40" s="217" t="s">
        <v>48</v>
      </c>
      <c r="L40" s="217" t="s">
        <v>48</v>
      </c>
      <c r="M40" s="217" t="s">
        <v>48</v>
      </c>
      <c r="N40" s="242" t="s">
        <v>48</v>
      </c>
      <c r="O40" s="412"/>
      <c r="P40" s="215"/>
      <c r="Q40" s="356"/>
      <c r="R40" s="102"/>
      <c r="V40" s="255"/>
      <c r="W40" s="256"/>
      <c r="X40" s="256"/>
      <c r="Y40" s="256"/>
      <c r="Z40" s="256"/>
      <c r="AA40" s="256"/>
      <c r="AB40" s="256"/>
      <c r="AC40" s="264"/>
      <c r="AD40" s="255"/>
      <c r="AE40" s="256"/>
      <c r="AF40" s="256"/>
      <c r="AG40" s="256"/>
      <c r="AH40" s="256"/>
      <c r="AI40" s="256"/>
      <c r="AJ40" s="256"/>
      <c r="AK40" s="264"/>
      <c r="AL40" s="255"/>
      <c r="AM40" s="277"/>
      <c r="AN40" s="277"/>
      <c r="AO40" s="277"/>
      <c r="AP40" s="277"/>
      <c r="AQ40" s="277"/>
      <c r="AR40" s="277"/>
    </row>
    <row r="41" spans="1:44" ht="14.1" customHeight="1">
      <c r="A41" s="513" t="s">
        <v>180</v>
      </c>
      <c r="B41" s="546" t="s">
        <v>181</v>
      </c>
      <c r="C41" s="560"/>
      <c r="D41" s="567"/>
      <c r="E41" s="363" t="s">
        <v>34</v>
      </c>
      <c r="F41" s="215" t="s">
        <v>39</v>
      </c>
      <c r="G41" s="215" t="s">
        <v>39</v>
      </c>
      <c r="H41" s="215" t="s">
        <v>34</v>
      </c>
      <c r="I41" s="215" t="s">
        <v>35</v>
      </c>
      <c r="J41" s="215" t="s">
        <v>34</v>
      </c>
      <c r="K41" s="215" t="s">
        <v>35</v>
      </c>
      <c r="L41" s="215" t="s">
        <v>34</v>
      </c>
      <c r="M41" s="218" t="s">
        <v>36</v>
      </c>
      <c r="N41" s="243" t="s">
        <v>36</v>
      </c>
      <c r="O41" s="409"/>
      <c r="Q41" s="356"/>
      <c r="R41" s="102"/>
      <c r="V41" s="253" t="s">
        <v>38</v>
      </c>
      <c r="W41" s="253" t="s">
        <v>35</v>
      </c>
      <c r="X41" s="253" t="s">
        <v>39</v>
      </c>
      <c r="Y41" s="275" t="s">
        <v>34</v>
      </c>
      <c r="Z41" s="275" t="s">
        <v>36</v>
      </c>
      <c r="AA41" s="275" t="s">
        <v>40</v>
      </c>
      <c r="AB41" s="275" t="s">
        <v>41</v>
      </c>
      <c r="AC41" s="264"/>
      <c r="AD41" s="253" t="s">
        <v>38</v>
      </c>
      <c r="AE41" s="253" t="s">
        <v>35</v>
      </c>
      <c r="AF41" s="253" t="s">
        <v>39</v>
      </c>
      <c r="AG41" s="275" t="s">
        <v>34</v>
      </c>
      <c r="AH41" s="275" t="s">
        <v>36</v>
      </c>
      <c r="AI41" s="275" t="s">
        <v>40</v>
      </c>
      <c r="AJ41" s="275" t="s">
        <v>41</v>
      </c>
      <c r="AK41" s="264"/>
      <c r="AL41" s="253" t="s">
        <v>38</v>
      </c>
      <c r="AM41" s="276" t="s">
        <v>35</v>
      </c>
      <c r="AN41" s="276" t="s">
        <v>39</v>
      </c>
      <c r="AO41" s="275" t="s">
        <v>34</v>
      </c>
      <c r="AP41" s="275" t="s">
        <v>36</v>
      </c>
      <c r="AQ41" s="275" t="s">
        <v>40</v>
      </c>
      <c r="AR41" s="275" t="s">
        <v>41</v>
      </c>
    </row>
    <row r="42" spans="1:44" ht="30" customHeight="1">
      <c r="A42" s="513"/>
      <c r="B42" s="546"/>
      <c r="C42" s="560"/>
      <c r="D42" s="567"/>
      <c r="E42" s="56" t="s">
        <v>142</v>
      </c>
      <c r="F42" s="221" t="s">
        <v>58</v>
      </c>
      <c r="G42" s="221" t="s">
        <v>58</v>
      </c>
      <c r="H42" s="57" t="s">
        <v>43</v>
      </c>
      <c r="I42" s="38" t="s">
        <v>182</v>
      </c>
      <c r="J42" s="57" t="s">
        <v>42</v>
      </c>
      <c r="K42" s="43" t="s">
        <v>183</v>
      </c>
      <c r="L42" s="57" t="s">
        <v>1550</v>
      </c>
      <c r="M42" s="220" t="s">
        <v>46</v>
      </c>
      <c r="N42" s="239" t="s">
        <v>46</v>
      </c>
      <c r="O42" s="412"/>
      <c r="P42" s="427" t="s">
        <v>536</v>
      </c>
      <c r="Q42" s="395" t="s">
        <v>864</v>
      </c>
      <c r="R42" s="102"/>
      <c r="V42" s="255" t="s">
        <v>184</v>
      </c>
      <c r="W42" s="256">
        <f t="shared" ref="W42:AB42" si="32">COUNTIF($E41:$N41,W41)</f>
        <v>2</v>
      </c>
      <c r="X42" s="256">
        <f t="shared" si="32"/>
        <v>2</v>
      </c>
      <c r="Y42" s="256">
        <f t="shared" si="32"/>
        <v>4</v>
      </c>
      <c r="Z42" s="256">
        <f t="shared" si="32"/>
        <v>2</v>
      </c>
      <c r="AA42" s="256">
        <f t="shared" si="32"/>
        <v>0</v>
      </c>
      <c r="AB42" s="256">
        <f t="shared" si="32"/>
        <v>0</v>
      </c>
      <c r="AC42" s="264"/>
      <c r="AD42" s="255" t="s">
        <v>184</v>
      </c>
      <c r="AE42" s="256" t="e">
        <f ca="1">colorcount($E42:$N42,$S$3)+colorcount($E42:$N42,$S$4)+colorcount($E42:$N42,$S$5)+colorcount($E42:$N42,$S$6)+colorcount($E42:$N42,$S$7)+colorcount($E42:$N42,$S$9)+colorcount($E42:$N42,$S$10)+colorcount($E42:$N42,$S$11)+colorcount($E42:$N42,$S$12)</f>
        <v>#NAME?</v>
      </c>
      <c r="AF42" s="256" t="e">
        <f ca="1">colorcount($E42:$N42,$S$15)</f>
        <v>#NAME?</v>
      </c>
      <c r="AG42" s="256" t="e">
        <f ca="1">colorcount($E42:$N42,$S$17)+colorcount($E42:$N42,$S$18)+colorcount($E42:$N42,$S$19)+colorcount($E42:$N42,$S$20)+colorcount($E42:$N42,$S$21)</f>
        <v>#NAME?</v>
      </c>
      <c r="AH42" s="256" t="e">
        <f ca="1">colorcount($E42:$N42,$S$23)</f>
        <v>#NAME?</v>
      </c>
      <c r="AI42" s="256" t="e">
        <f ca="1">colorcount($E42:$N42,$S$26)</f>
        <v>#NAME?</v>
      </c>
      <c r="AJ42" s="256" t="e">
        <f ca="1">colorcount($E42:$N42,$S$28)</f>
        <v>#NAME?</v>
      </c>
      <c r="AK42" s="264"/>
      <c r="AL42" s="255" t="s">
        <v>184</v>
      </c>
      <c r="AM42" s="277" t="e">
        <f t="shared" ref="AM42:AR42" ca="1" si="33">IF(W42=AE42,"O","X")</f>
        <v>#NAME?</v>
      </c>
      <c r="AN42" s="277" t="e">
        <f t="shared" ca="1" si="33"/>
        <v>#NAME?</v>
      </c>
      <c r="AO42" s="277" t="e">
        <f t="shared" ca="1" si="33"/>
        <v>#NAME?</v>
      </c>
      <c r="AP42" s="277" t="e">
        <f t="shared" ca="1" si="33"/>
        <v>#NAME?</v>
      </c>
      <c r="AQ42" s="277" t="e">
        <f t="shared" ca="1" si="33"/>
        <v>#NAME?</v>
      </c>
      <c r="AR42" s="277" t="e">
        <f t="shared" ca="1" si="33"/>
        <v>#NAME?</v>
      </c>
    </row>
    <row r="43" spans="1:44" ht="30" customHeight="1">
      <c r="A43" s="212"/>
      <c r="B43" s="226" t="s">
        <v>185</v>
      </c>
      <c r="C43" s="213"/>
      <c r="D43" s="360"/>
      <c r="E43" s="364" t="s">
        <v>48</v>
      </c>
      <c r="F43" s="452" t="s">
        <v>186</v>
      </c>
      <c r="G43" s="217" t="s">
        <v>48</v>
      </c>
      <c r="H43" s="217" t="s">
        <v>48</v>
      </c>
      <c r="I43" s="217" t="s">
        <v>48</v>
      </c>
      <c r="J43" s="217" t="s">
        <v>48</v>
      </c>
      <c r="K43" s="217" t="s">
        <v>48</v>
      </c>
      <c r="L43" s="217" t="s">
        <v>48</v>
      </c>
      <c r="M43" s="217" t="s">
        <v>48</v>
      </c>
      <c r="N43" s="242" t="s">
        <v>48</v>
      </c>
      <c r="O43" s="412"/>
      <c r="P43" s="353"/>
      <c r="Q43" s="356"/>
      <c r="R43" s="102"/>
      <c r="V43" s="255"/>
      <c r="W43" s="256"/>
      <c r="X43" s="256"/>
      <c r="Y43" s="256"/>
      <c r="Z43" s="256"/>
      <c r="AA43" s="256"/>
      <c r="AB43" s="256"/>
      <c r="AC43" s="264"/>
      <c r="AD43" s="255"/>
      <c r="AE43" s="256"/>
      <c r="AF43" s="256"/>
      <c r="AG43" s="256"/>
      <c r="AH43" s="256"/>
      <c r="AI43" s="256"/>
      <c r="AJ43" s="256"/>
      <c r="AK43" s="264"/>
      <c r="AL43" s="255"/>
      <c r="AM43" s="277"/>
      <c r="AN43" s="277"/>
      <c r="AO43" s="277"/>
      <c r="AP43" s="277"/>
      <c r="AQ43" s="277"/>
      <c r="AR43" s="277"/>
    </row>
    <row r="44" spans="1:44" ht="14.1" customHeight="1">
      <c r="A44" s="513" t="s">
        <v>187</v>
      </c>
      <c r="B44" s="546" t="s">
        <v>188</v>
      </c>
      <c r="C44" s="560"/>
      <c r="D44" s="567"/>
      <c r="E44" s="363" t="s">
        <v>35</v>
      </c>
      <c r="F44" s="215" t="s">
        <v>35</v>
      </c>
      <c r="G44" s="215" t="s">
        <v>35</v>
      </c>
      <c r="H44" s="215" t="s">
        <v>34</v>
      </c>
      <c r="I44" s="215" t="s">
        <v>35</v>
      </c>
      <c r="J44" s="215" t="s">
        <v>34</v>
      </c>
      <c r="K44" s="215" t="s">
        <v>34</v>
      </c>
      <c r="L44" s="215" t="s">
        <v>35</v>
      </c>
      <c r="M44" s="218" t="s">
        <v>36</v>
      </c>
      <c r="N44" s="243" t="s">
        <v>36</v>
      </c>
      <c r="O44" s="352"/>
      <c r="P44" s="353"/>
      <c r="Q44" s="356"/>
      <c r="R44" s="102"/>
      <c r="V44" s="253" t="s">
        <v>38</v>
      </c>
      <c r="W44" s="253" t="s">
        <v>35</v>
      </c>
      <c r="X44" s="253" t="s">
        <v>39</v>
      </c>
      <c r="Y44" s="275" t="s">
        <v>34</v>
      </c>
      <c r="Z44" s="275" t="s">
        <v>36</v>
      </c>
      <c r="AA44" s="275" t="s">
        <v>40</v>
      </c>
      <c r="AB44" s="275" t="s">
        <v>41</v>
      </c>
      <c r="AC44" s="264"/>
      <c r="AD44" s="253" t="s">
        <v>38</v>
      </c>
      <c r="AE44" s="253" t="s">
        <v>35</v>
      </c>
      <c r="AF44" s="253" t="s">
        <v>39</v>
      </c>
      <c r="AG44" s="275" t="s">
        <v>34</v>
      </c>
      <c r="AH44" s="275" t="s">
        <v>36</v>
      </c>
      <c r="AI44" s="275" t="s">
        <v>40</v>
      </c>
      <c r="AJ44" s="275" t="s">
        <v>41</v>
      </c>
      <c r="AK44" s="264"/>
      <c r="AL44" s="253" t="s">
        <v>38</v>
      </c>
      <c r="AM44" s="276" t="s">
        <v>35</v>
      </c>
      <c r="AN44" s="276" t="s">
        <v>39</v>
      </c>
      <c r="AO44" s="275" t="s">
        <v>34</v>
      </c>
      <c r="AP44" s="275" t="s">
        <v>36</v>
      </c>
      <c r="AQ44" s="275" t="s">
        <v>40</v>
      </c>
      <c r="AR44" s="275" t="s">
        <v>41</v>
      </c>
    </row>
    <row r="45" spans="1:44" ht="30" customHeight="1">
      <c r="A45" s="513"/>
      <c r="B45" s="546"/>
      <c r="C45" s="560"/>
      <c r="D45" s="567"/>
      <c r="E45" s="37" t="s">
        <v>189</v>
      </c>
      <c r="F45" s="40" t="s">
        <v>190</v>
      </c>
      <c r="G45" s="38" t="s">
        <v>191</v>
      </c>
      <c r="H45" s="57" t="s">
        <v>78</v>
      </c>
      <c r="I45" s="38" t="s">
        <v>1588</v>
      </c>
      <c r="J45" s="57" t="s">
        <v>142</v>
      </c>
      <c r="K45" s="57" t="s">
        <v>43</v>
      </c>
      <c r="L45" s="38" t="s">
        <v>192</v>
      </c>
      <c r="M45" s="220" t="s">
        <v>46</v>
      </c>
      <c r="N45" s="239" t="s">
        <v>46</v>
      </c>
      <c r="O45" s="408"/>
      <c r="P45" s="422" t="s">
        <v>512</v>
      </c>
      <c r="Q45" s="395" t="s">
        <v>864</v>
      </c>
      <c r="R45" s="102"/>
      <c r="V45" s="255" t="s">
        <v>188</v>
      </c>
      <c r="W45" s="256">
        <f t="shared" ref="W45:AB45" si="34">COUNTIF($E44:$N44,W44)</f>
        <v>5</v>
      </c>
      <c r="X45" s="256">
        <f t="shared" si="34"/>
        <v>0</v>
      </c>
      <c r="Y45" s="256">
        <f t="shared" si="34"/>
        <v>3</v>
      </c>
      <c r="Z45" s="256">
        <f t="shared" si="34"/>
        <v>2</v>
      </c>
      <c r="AA45" s="256">
        <f t="shared" si="34"/>
        <v>0</v>
      </c>
      <c r="AB45" s="256">
        <f t="shared" si="34"/>
        <v>0</v>
      </c>
      <c r="AC45" s="264"/>
      <c r="AD45" s="255" t="s">
        <v>188</v>
      </c>
      <c r="AE45" s="256" t="e">
        <f ca="1">colorcount($E45:$N45,$S$3)+colorcount($E45:$N45,$S$4)+colorcount($E45:$N45,$S$5)+colorcount($E45:$N45,$S$6)+colorcount($E45:$N45,$S$7)+colorcount($E45:$N45,$S$9)+colorcount($E45:$N45,$S$10)+colorcount($E45:$N45,$S$11)+colorcount($E45:$N45,$S$12)</f>
        <v>#NAME?</v>
      </c>
      <c r="AF45" s="256" t="e">
        <f ca="1">colorcount($E45:$N45,$S$15)</f>
        <v>#NAME?</v>
      </c>
      <c r="AG45" s="256" t="e">
        <f ca="1">colorcount($E45:$N45,$S$17)+colorcount($E45:$N45,$S$18)+colorcount($E45:$N45,$S$19)+colorcount($E45:$N45,$S$20)+colorcount($E45:$N45,$S$21)</f>
        <v>#NAME?</v>
      </c>
      <c r="AH45" s="256" t="e">
        <f ca="1">colorcount($E45:$N45,$S$23)</f>
        <v>#NAME?</v>
      </c>
      <c r="AI45" s="256" t="e">
        <f ca="1">colorcount($E45:$N45,$S$26)</f>
        <v>#NAME?</v>
      </c>
      <c r="AJ45" s="256" t="e">
        <f ca="1">colorcount($E45:$N45,$S$28)</f>
        <v>#NAME?</v>
      </c>
      <c r="AK45" s="264"/>
      <c r="AL45" s="255" t="s">
        <v>188</v>
      </c>
      <c r="AM45" s="277" t="e">
        <f t="shared" ref="AM45:AR45" ca="1" si="35">IF(W45=AE45,"O","X")</f>
        <v>#NAME?</v>
      </c>
      <c r="AN45" s="277" t="e">
        <f t="shared" ca="1" si="35"/>
        <v>#NAME?</v>
      </c>
      <c r="AO45" s="277" t="e">
        <f t="shared" ca="1" si="35"/>
        <v>#NAME?</v>
      </c>
      <c r="AP45" s="277" t="e">
        <f t="shared" ca="1" si="35"/>
        <v>#NAME?</v>
      </c>
      <c r="AQ45" s="277" t="e">
        <f t="shared" ca="1" si="35"/>
        <v>#NAME?</v>
      </c>
      <c r="AR45" s="277" t="e">
        <f t="shared" ca="1" si="35"/>
        <v>#NAME?</v>
      </c>
    </row>
    <row r="46" spans="1:44" ht="14.1" customHeight="1">
      <c r="A46" s="513" t="s">
        <v>194</v>
      </c>
      <c r="B46" s="546" t="s">
        <v>195</v>
      </c>
      <c r="C46" s="560"/>
      <c r="D46" s="567"/>
      <c r="E46" s="363" t="s">
        <v>35</v>
      </c>
      <c r="F46" s="215" t="s">
        <v>34</v>
      </c>
      <c r="G46" s="215" t="s">
        <v>34</v>
      </c>
      <c r="H46" s="215" t="s">
        <v>34</v>
      </c>
      <c r="I46" s="215" t="s">
        <v>34</v>
      </c>
      <c r="J46" s="215" t="s">
        <v>34</v>
      </c>
      <c r="K46" s="215" t="s">
        <v>34</v>
      </c>
      <c r="L46" s="215" t="s">
        <v>35</v>
      </c>
      <c r="M46" s="215" t="s">
        <v>35</v>
      </c>
      <c r="N46" s="241" t="s">
        <v>35</v>
      </c>
      <c r="O46" s="409"/>
      <c r="P46" s="421"/>
      <c r="Q46" s="426"/>
      <c r="R46" s="102"/>
      <c r="V46" s="253" t="s">
        <v>38</v>
      </c>
      <c r="W46" s="253" t="s">
        <v>35</v>
      </c>
      <c r="X46" s="253" t="s">
        <v>39</v>
      </c>
      <c r="Y46" s="275" t="s">
        <v>34</v>
      </c>
      <c r="Z46" s="275" t="s">
        <v>36</v>
      </c>
      <c r="AA46" s="275" t="s">
        <v>40</v>
      </c>
      <c r="AB46" s="275" t="s">
        <v>41</v>
      </c>
      <c r="AC46" s="264"/>
      <c r="AD46" s="253" t="s">
        <v>38</v>
      </c>
      <c r="AE46" s="253" t="s">
        <v>35</v>
      </c>
      <c r="AF46" s="253" t="s">
        <v>39</v>
      </c>
      <c r="AG46" s="275" t="s">
        <v>34</v>
      </c>
      <c r="AH46" s="275" t="s">
        <v>36</v>
      </c>
      <c r="AI46" s="275" t="s">
        <v>40</v>
      </c>
      <c r="AJ46" s="275" t="s">
        <v>41</v>
      </c>
      <c r="AK46" s="264"/>
      <c r="AL46" s="253" t="s">
        <v>38</v>
      </c>
      <c r="AM46" s="276" t="s">
        <v>35</v>
      </c>
      <c r="AN46" s="276" t="s">
        <v>39</v>
      </c>
      <c r="AO46" s="275" t="s">
        <v>34</v>
      </c>
      <c r="AP46" s="275" t="s">
        <v>36</v>
      </c>
      <c r="AQ46" s="275" t="s">
        <v>40</v>
      </c>
      <c r="AR46" s="275" t="s">
        <v>41</v>
      </c>
    </row>
    <row r="47" spans="1:44" ht="30" customHeight="1">
      <c r="A47" s="513"/>
      <c r="B47" s="546"/>
      <c r="C47" s="560"/>
      <c r="D47" s="567"/>
      <c r="E47" s="37" t="s">
        <v>196</v>
      </c>
      <c r="F47" s="57" t="s">
        <v>91</v>
      </c>
      <c r="G47" s="57" t="s">
        <v>1550</v>
      </c>
      <c r="H47" s="57" t="s">
        <v>142</v>
      </c>
      <c r="I47" s="57" t="s">
        <v>1664</v>
      </c>
      <c r="J47" s="57" t="s">
        <v>90</v>
      </c>
      <c r="K47" s="57" t="s">
        <v>89</v>
      </c>
      <c r="L47" s="38" t="s">
        <v>197</v>
      </c>
      <c r="M47" s="38" t="s">
        <v>198</v>
      </c>
      <c r="N47" s="77" t="s">
        <v>199</v>
      </c>
      <c r="O47" s="412"/>
      <c r="P47" s="424" t="s">
        <v>1028</v>
      </c>
      <c r="Q47" s="395" t="s">
        <v>864</v>
      </c>
      <c r="R47" s="102"/>
      <c r="V47" s="255" t="s">
        <v>195</v>
      </c>
      <c r="W47" s="256">
        <f t="shared" ref="W47:AB47" si="36">COUNTIF($E46:$N46,W46)</f>
        <v>4</v>
      </c>
      <c r="X47" s="256">
        <f t="shared" si="36"/>
        <v>0</v>
      </c>
      <c r="Y47" s="256">
        <f t="shared" si="36"/>
        <v>6</v>
      </c>
      <c r="Z47" s="256">
        <f t="shared" si="36"/>
        <v>0</v>
      </c>
      <c r="AA47" s="256">
        <f t="shared" si="36"/>
        <v>0</v>
      </c>
      <c r="AB47" s="256">
        <f t="shared" si="36"/>
        <v>0</v>
      </c>
      <c r="AC47" s="264"/>
      <c r="AD47" s="255" t="s">
        <v>195</v>
      </c>
      <c r="AE47" s="256" t="e">
        <f ca="1">colorcount($E47:$N47,$S$3)+colorcount($E47:$N47,$S$4)+colorcount($E47:$N47,$S$5)+colorcount($E47:$N47,$S$6)+colorcount($E47:$N47,$S$7)+colorcount($E47:$N47,$S$9)+colorcount($E47:$N47,$S$10)+colorcount($E47:$N47,$S$11)+colorcount($E47:$N47,$S$12)</f>
        <v>#NAME?</v>
      </c>
      <c r="AF47" s="256" t="e">
        <f ca="1">colorcount($E47:$N47,$S$15)</f>
        <v>#NAME?</v>
      </c>
      <c r="AG47" s="256" t="e">
        <f ca="1">colorcount($E47:$N47,$S$17)+colorcount($E47:$N47,$S$18)+colorcount($E47:$N47,$S$19)+colorcount($E47:$N47,$S$20)+colorcount($E47:$N47,$S$21)</f>
        <v>#NAME?</v>
      </c>
      <c r="AH47" s="256" t="e">
        <f ca="1">colorcount($E47:$N47,$S$23)</f>
        <v>#NAME?</v>
      </c>
      <c r="AI47" s="256" t="e">
        <f ca="1">colorcount($E47:$N47,$S$26)</f>
        <v>#NAME?</v>
      </c>
      <c r="AJ47" s="256" t="e">
        <f ca="1">colorcount($E47:$N47,$S$28)</f>
        <v>#NAME?</v>
      </c>
      <c r="AK47" s="264"/>
      <c r="AL47" s="255" t="s">
        <v>195</v>
      </c>
      <c r="AM47" s="277" t="e">
        <f t="shared" ref="AM47:AR47" ca="1" si="37">IF(W47=AE47,"O","X")</f>
        <v>#NAME?</v>
      </c>
      <c r="AN47" s="277" t="e">
        <f t="shared" ca="1" si="37"/>
        <v>#NAME?</v>
      </c>
      <c r="AO47" s="277" t="e">
        <f t="shared" ca="1" si="37"/>
        <v>#NAME?</v>
      </c>
      <c r="AP47" s="277" t="e">
        <f t="shared" ca="1" si="37"/>
        <v>#NAME?</v>
      </c>
      <c r="AQ47" s="277" t="e">
        <f t="shared" ca="1" si="37"/>
        <v>#NAME?</v>
      </c>
      <c r="AR47" s="277" t="e">
        <f t="shared" ca="1" si="37"/>
        <v>#NAME?</v>
      </c>
    </row>
    <row r="48" spans="1:44" ht="14.1" customHeight="1">
      <c r="A48" s="513" t="s">
        <v>201</v>
      </c>
      <c r="B48" s="546" t="s">
        <v>202</v>
      </c>
      <c r="C48" s="560"/>
      <c r="D48" s="567"/>
      <c r="E48" s="363" t="s">
        <v>39</v>
      </c>
      <c r="F48" s="215" t="s">
        <v>34</v>
      </c>
      <c r="G48" s="215" t="s">
        <v>35</v>
      </c>
      <c r="H48" s="215" t="s">
        <v>39</v>
      </c>
      <c r="I48" s="215" t="s">
        <v>35</v>
      </c>
      <c r="J48" s="215" t="s">
        <v>34</v>
      </c>
      <c r="K48" s="215" t="s">
        <v>34</v>
      </c>
      <c r="L48" s="215" t="s">
        <v>34</v>
      </c>
      <c r="M48" s="215" t="s">
        <v>35</v>
      </c>
      <c r="N48" s="241" t="s">
        <v>35</v>
      </c>
      <c r="O48" s="409"/>
      <c r="P48" s="421"/>
      <c r="Q48" s="356"/>
      <c r="R48" s="102"/>
      <c r="V48" s="253" t="s">
        <v>38</v>
      </c>
      <c r="W48" s="253" t="s">
        <v>35</v>
      </c>
      <c r="X48" s="253" t="s">
        <v>39</v>
      </c>
      <c r="Y48" s="275" t="s">
        <v>34</v>
      </c>
      <c r="Z48" s="275" t="s">
        <v>36</v>
      </c>
      <c r="AA48" s="275" t="s">
        <v>40</v>
      </c>
      <c r="AB48" s="275" t="s">
        <v>41</v>
      </c>
      <c r="AC48" s="264"/>
      <c r="AD48" s="253" t="s">
        <v>38</v>
      </c>
      <c r="AE48" s="253" t="s">
        <v>35</v>
      </c>
      <c r="AF48" s="253" t="s">
        <v>39</v>
      </c>
      <c r="AG48" s="275" t="s">
        <v>34</v>
      </c>
      <c r="AH48" s="275" t="s">
        <v>36</v>
      </c>
      <c r="AI48" s="275" t="s">
        <v>40</v>
      </c>
      <c r="AJ48" s="275" t="s">
        <v>41</v>
      </c>
      <c r="AK48" s="264"/>
      <c r="AL48" s="253" t="s">
        <v>38</v>
      </c>
      <c r="AM48" s="276" t="s">
        <v>35</v>
      </c>
      <c r="AN48" s="276" t="s">
        <v>39</v>
      </c>
      <c r="AO48" s="275" t="s">
        <v>34</v>
      </c>
      <c r="AP48" s="275" t="s">
        <v>36</v>
      </c>
      <c r="AQ48" s="275" t="s">
        <v>40</v>
      </c>
      <c r="AR48" s="275" t="s">
        <v>41</v>
      </c>
    </row>
    <row r="49" spans="1:44" ht="30" customHeight="1">
      <c r="A49" s="513"/>
      <c r="B49" s="546"/>
      <c r="C49" s="560"/>
      <c r="D49" s="567"/>
      <c r="E49" s="369" t="s">
        <v>58</v>
      </c>
      <c r="F49" s="57" t="s">
        <v>42</v>
      </c>
      <c r="G49" s="38" t="s">
        <v>203</v>
      </c>
      <c r="H49" s="221" t="s">
        <v>58</v>
      </c>
      <c r="I49" s="248" t="s">
        <v>204</v>
      </c>
      <c r="J49" s="57" t="s">
        <v>44</v>
      </c>
      <c r="K49" s="57" t="s">
        <v>90</v>
      </c>
      <c r="L49" s="57" t="s">
        <v>128</v>
      </c>
      <c r="M49" s="46" t="s">
        <v>1671</v>
      </c>
      <c r="N49" s="77" t="s">
        <v>520</v>
      </c>
      <c r="O49" s="412"/>
      <c r="P49" s="424" t="s">
        <v>1565</v>
      </c>
      <c r="Q49" s="395" t="s">
        <v>864</v>
      </c>
      <c r="R49" s="102"/>
      <c r="V49" s="255" t="s">
        <v>202</v>
      </c>
      <c r="W49" s="256">
        <f t="shared" ref="W49:AB49" si="38">COUNTIF($E48:$N48,W48)</f>
        <v>4</v>
      </c>
      <c r="X49" s="256">
        <f t="shared" si="38"/>
        <v>2</v>
      </c>
      <c r="Y49" s="256">
        <f t="shared" si="38"/>
        <v>4</v>
      </c>
      <c r="Z49" s="256">
        <f t="shared" si="38"/>
        <v>0</v>
      </c>
      <c r="AA49" s="256">
        <f t="shared" si="38"/>
        <v>0</v>
      </c>
      <c r="AB49" s="256">
        <f t="shared" si="38"/>
        <v>0</v>
      </c>
      <c r="AC49" s="264"/>
      <c r="AD49" s="255" t="s">
        <v>202</v>
      </c>
      <c r="AE49" s="256" t="e">
        <f ca="1">colorcount($E49:$N49,$S$3)+colorcount($E49:$N49,$S$4)+colorcount($E49:$N49,$S$5)+colorcount($E49:$N49,$S$6)+colorcount($E49:$N49,$S$7)+colorcount($E49:$N49,$S$9)+colorcount($E49:$N49,$S$10)+colorcount($E49:$N49,$S$11)+colorcount($E49:$N49,$S$12)</f>
        <v>#NAME?</v>
      </c>
      <c r="AF49" s="256" t="e">
        <f ca="1">colorcount($E49:$N49,$S$15)</f>
        <v>#NAME?</v>
      </c>
      <c r="AG49" s="256" t="e">
        <f ca="1">colorcount($E49:$N49,$S$17)+colorcount($E49:$N49,$S$18)+colorcount($E49:$N49,$S$19)+colorcount($E49:$N49,$S$20)+colorcount($E49:$N49,$S$21)</f>
        <v>#NAME?</v>
      </c>
      <c r="AH49" s="256" t="e">
        <f ca="1">colorcount($E49:$N49,$S$23)</f>
        <v>#NAME?</v>
      </c>
      <c r="AI49" s="256" t="e">
        <f ca="1">colorcount($E49:$N49,$S$26)</f>
        <v>#NAME?</v>
      </c>
      <c r="AJ49" s="256" t="e">
        <f ca="1">colorcount($E49:$N49,$S$28)</f>
        <v>#NAME?</v>
      </c>
      <c r="AK49" s="264"/>
      <c r="AL49" s="255" t="s">
        <v>202</v>
      </c>
      <c r="AM49" s="277" t="e">
        <f t="shared" ref="AM49:AR49" ca="1" si="39">IF(W49=AE49,"O","X")</f>
        <v>#NAME?</v>
      </c>
      <c r="AN49" s="277" t="e">
        <f t="shared" ca="1" si="39"/>
        <v>#NAME?</v>
      </c>
      <c r="AO49" s="277" t="e">
        <f t="shared" ca="1" si="39"/>
        <v>#NAME?</v>
      </c>
      <c r="AP49" s="277" t="e">
        <f t="shared" ca="1" si="39"/>
        <v>#NAME?</v>
      </c>
      <c r="AQ49" s="277" t="e">
        <f t="shared" ca="1" si="39"/>
        <v>#NAME?</v>
      </c>
      <c r="AR49" s="277" t="e">
        <f t="shared" ca="1" si="39"/>
        <v>#NAME?</v>
      </c>
    </row>
    <row r="50" spans="1:44" ht="14.1" customHeight="1">
      <c r="A50" s="513" t="s">
        <v>207</v>
      </c>
      <c r="B50" s="546" t="s">
        <v>208</v>
      </c>
      <c r="C50" s="560"/>
      <c r="D50" s="567"/>
      <c r="E50" s="363" t="s">
        <v>34</v>
      </c>
      <c r="F50" s="215" t="s">
        <v>34</v>
      </c>
      <c r="G50" s="215" t="s">
        <v>34</v>
      </c>
      <c r="H50" s="215" t="s">
        <v>34</v>
      </c>
      <c r="I50" s="215" t="s">
        <v>34</v>
      </c>
      <c r="J50" s="215" t="s">
        <v>35</v>
      </c>
      <c r="K50" s="215" t="s">
        <v>34</v>
      </c>
      <c r="L50" s="215" t="s">
        <v>35</v>
      </c>
      <c r="M50" s="215" t="s">
        <v>35</v>
      </c>
      <c r="N50" s="241" t="s">
        <v>35</v>
      </c>
      <c r="O50" s="409"/>
      <c r="P50" s="147"/>
      <c r="Q50" s="158"/>
      <c r="R50" s="102"/>
      <c r="V50" s="253" t="s">
        <v>38</v>
      </c>
      <c r="W50" s="253" t="s">
        <v>35</v>
      </c>
      <c r="X50" s="253" t="s">
        <v>39</v>
      </c>
      <c r="Y50" s="275" t="s">
        <v>34</v>
      </c>
      <c r="Z50" s="275" t="s">
        <v>36</v>
      </c>
      <c r="AA50" s="275" t="s">
        <v>40</v>
      </c>
      <c r="AB50" s="275" t="s">
        <v>41</v>
      </c>
      <c r="AC50" s="264"/>
      <c r="AD50" s="253" t="s">
        <v>38</v>
      </c>
      <c r="AE50" s="253" t="s">
        <v>35</v>
      </c>
      <c r="AF50" s="253" t="s">
        <v>39</v>
      </c>
      <c r="AG50" s="275" t="s">
        <v>34</v>
      </c>
      <c r="AH50" s="275" t="s">
        <v>36</v>
      </c>
      <c r="AI50" s="275" t="s">
        <v>40</v>
      </c>
      <c r="AJ50" s="275" t="s">
        <v>41</v>
      </c>
      <c r="AK50" s="264"/>
      <c r="AL50" s="253" t="s">
        <v>38</v>
      </c>
      <c r="AM50" s="276" t="s">
        <v>35</v>
      </c>
      <c r="AN50" s="276" t="s">
        <v>39</v>
      </c>
      <c r="AO50" s="275" t="s">
        <v>34</v>
      </c>
      <c r="AP50" s="275" t="s">
        <v>36</v>
      </c>
      <c r="AQ50" s="275" t="s">
        <v>40</v>
      </c>
      <c r="AR50" s="275" t="s">
        <v>41</v>
      </c>
    </row>
    <row r="51" spans="1:44" ht="30" customHeight="1">
      <c r="A51" s="513"/>
      <c r="B51" s="546"/>
      <c r="C51" s="560"/>
      <c r="D51" s="567"/>
      <c r="E51" s="56" t="s">
        <v>167</v>
      </c>
      <c r="F51" s="57" t="s">
        <v>77</v>
      </c>
      <c r="G51" s="57" t="s">
        <v>1756</v>
      </c>
      <c r="H51" s="57" t="s">
        <v>56</v>
      </c>
      <c r="I51" s="57" t="s">
        <v>146</v>
      </c>
      <c r="J51" s="38" t="s">
        <v>209</v>
      </c>
      <c r="K51" s="57" t="s">
        <v>57</v>
      </c>
      <c r="L51" s="38" t="s">
        <v>210</v>
      </c>
      <c r="M51" s="38" t="s">
        <v>211</v>
      </c>
      <c r="N51" s="78" t="s">
        <v>212</v>
      </c>
      <c r="O51" s="412"/>
      <c r="P51" s="428" t="s">
        <v>81</v>
      </c>
      <c r="Q51" s="395" t="s">
        <v>864</v>
      </c>
      <c r="R51" s="102"/>
      <c r="V51" s="255" t="s">
        <v>208</v>
      </c>
      <c r="W51" s="256">
        <f t="shared" ref="W51:AB51" si="40">COUNTIF($E50:$N50,W50)</f>
        <v>4</v>
      </c>
      <c r="X51" s="256">
        <f t="shared" si="40"/>
        <v>0</v>
      </c>
      <c r="Y51" s="256">
        <f t="shared" si="40"/>
        <v>6</v>
      </c>
      <c r="Z51" s="256">
        <f t="shared" si="40"/>
        <v>0</v>
      </c>
      <c r="AA51" s="256">
        <f t="shared" si="40"/>
        <v>0</v>
      </c>
      <c r="AB51" s="256">
        <f t="shared" si="40"/>
        <v>0</v>
      </c>
      <c r="AC51" s="264"/>
      <c r="AD51" s="255" t="s">
        <v>208</v>
      </c>
      <c r="AE51" s="256" t="e">
        <f ca="1">colorcount($E51:$N51,$S$3)+colorcount($E51:$N51,$S$4)+colorcount($E51:$N51,$S$5)+colorcount($E51:$N51,$S$6)+colorcount($E51:$N51,$S$7)+colorcount($E51:$N51,$S$9)+colorcount($E51:$N51,$S$10)+colorcount($E51:$N51,$S$11)+colorcount($E51:$N51,$S$12)</f>
        <v>#NAME?</v>
      </c>
      <c r="AF51" s="256" t="e">
        <f ca="1">colorcount($E51:$N51,$S$15)</f>
        <v>#NAME?</v>
      </c>
      <c r="AG51" s="256" t="e">
        <f ca="1">colorcount($E51:$N51,$S$17)+colorcount($E51:$N51,$S$18)+colorcount($E51:$N51,$S$19)+colorcount($E51:$N51,$S$20)+colorcount($E51:$N51,$S$21)</f>
        <v>#NAME?</v>
      </c>
      <c r="AH51" s="256" t="e">
        <f ca="1">colorcount($E51:$N51,$S$23)</f>
        <v>#NAME?</v>
      </c>
      <c r="AI51" s="256" t="e">
        <f ca="1">colorcount($E51:$N51,$S$26)</f>
        <v>#NAME?</v>
      </c>
      <c r="AJ51" s="256" t="e">
        <f ca="1">colorcount($E51:$N51,$S$28)</f>
        <v>#NAME?</v>
      </c>
      <c r="AK51" s="264"/>
      <c r="AL51" s="255" t="s">
        <v>208</v>
      </c>
      <c r="AM51" s="277" t="e">
        <f t="shared" ref="AM51:AR51" ca="1" si="41">IF(W51=AE51,"O","X")</f>
        <v>#NAME?</v>
      </c>
      <c r="AN51" s="277" t="e">
        <f t="shared" ca="1" si="41"/>
        <v>#NAME?</v>
      </c>
      <c r="AO51" s="277" t="e">
        <f t="shared" ca="1" si="41"/>
        <v>#NAME?</v>
      </c>
      <c r="AP51" s="277" t="e">
        <f t="shared" ca="1" si="41"/>
        <v>#NAME?</v>
      </c>
      <c r="AQ51" s="277" t="e">
        <f t="shared" ca="1" si="41"/>
        <v>#NAME?</v>
      </c>
      <c r="AR51" s="277" t="e">
        <f t="shared" ca="1" si="41"/>
        <v>#NAME?</v>
      </c>
    </row>
    <row r="52" spans="1:44" ht="14.1" customHeight="1">
      <c r="A52" s="513" t="s">
        <v>213</v>
      </c>
      <c r="B52" s="546" t="s">
        <v>214</v>
      </c>
      <c r="C52" s="560"/>
      <c r="D52" s="567"/>
      <c r="E52" s="363" t="s">
        <v>35</v>
      </c>
      <c r="F52" s="215" t="s">
        <v>35</v>
      </c>
      <c r="G52" s="215" t="s">
        <v>34</v>
      </c>
      <c r="H52" s="215" t="s">
        <v>34</v>
      </c>
      <c r="I52" s="215" t="s">
        <v>39</v>
      </c>
      <c r="J52" s="215" t="s">
        <v>39</v>
      </c>
      <c r="K52" s="215" t="s">
        <v>35</v>
      </c>
      <c r="L52" s="215" t="s">
        <v>35</v>
      </c>
      <c r="M52" s="215" t="s">
        <v>35</v>
      </c>
      <c r="N52" s="241" t="s">
        <v>35</v>
      </c>
      <c r="O52" s="409"/>
      <c r="P52" s="147"/>
      <c r="Q52" s="158"/>
      <c r="R52" s="102"/>
      <c r="V52" s="253" t="s">
        <v>38</v>
      </c>
      <c r="W52" s="253" t="s">
        <v>35</v>
      </c>
      <c r="X52" s="253" t="s">
        <v>39</v>
      </c>
      <c r="Y52" s="275" t="s">
        <v>34</v>
      </c>
      <c r="Z52" s="275" t="s">
        <v>36</v>
      </c>
      <c r="AA52" s="275" t="s">
        <v>40</v>
      </c>
      <c r="AB52" s="275" t="s">
        <v>41</v>
      </c>
      <c r="AC52" s="264"/>
      <c r="AD52" s="253" t="s">
        <v>38</v>
      </c>
      <c r="AE52" s="253" t="s">
        <v>35</v>
      </c>
      <c r="AF52" s="253" t="s">
        <v>39</v>
      </c>
      <c r="AG52" s="275" t="s">
        <v>34</v>
      </c>
      <c r="AH52" s="275" t="s">
        <v>36</v>
      </c>
      <c r="AI52" s="275" t="s">
        <v>40</v>
      </c>
      <c r="AJ52" s="275" t="s">
        <v>41</v>
      </c>
      <c r="AK52" s="264"/>
      <c r="AL52" s="253" t="s">
        <v>38</v>
      </c>
      <c r="AM52" s="276" t="s">
        <v>35</v>
      </c>
      <c r="AN52" s="276" t="s">
        <v>39</v>
      </c>
      <c r="AO52" s="275" t="s">
        <v>34</v>
      </c>
      <c r="AP52" s="275" t="s">
        <v>36</v>
      </c>
      <c r="AQ52" s="275" t="s">
        <v>40</v>
      </c>
      <c r="AR52" s="275" t="s">
        <v>41</v>
      </c>
    </row>
    <row r="53" spans="1:44" ht="30" customHeight="1">
      <c r="A53" s="513"/>
      <c r="B53" s="546"/>
      <c r="C53" s="560"/>
      <c r="D53" s="567"/>
      <c r="E53" s="37" t="s">
        <v>215</v>
      </c>
      <c r="F53" s="38" t="s">
        <v>216</v>
      </c>
      <c r="G53" s="57" t="s">
        <v>57</v>
      </c>
      <c r="H53" s="57" t="s">
        <v>147</v>
      </c>
      <c r="I53" s="249" t="s">
        <v>58</v>
      </c>
      <c r="J53" s="221" t="s">
        <v>59</v>
      </c>
      <c r="K53" s="46" t="s">
        <v>1782</v>
      </c>
      <c r="L53" s="38" t="s">
        <v>217</v>
      </c>
      <c r="M53" s="38" t="s">
        <v>1570</v>
      </c>
      <c r="N53" s="82" t="s">
        <v>1679</v>
      </c>
      <c r="O53" s="412"/>
      <c r="P53" s="428" t="s">
        <v>421</v>
      </c>
      <c r="Q53" s="395" t="s">
        <v>864</v>
      </c>
      <c r="R53" s="102"/>
      <c r="V53" s="255" t="s">
        <v>218</v>
      </c>
      <c r="W53" s="256">
        <f t="shared" ref="W53:AB53" si="42">COUNTIF($E52:$N52,W52)</f>
        <v>6</v>
      </c>
      <c r="X53" s="256">
        <f t="shared" si="42"/>
        <v>2</v>
      </c>
      <c r="Y53" s="256">
        <f t="shared" si="42"/>
        <v>2</v>
      </c>
      <c r="Z53" s="256">
        <f t="shared" si="42"/>
        <v>0</v>
      </c>
      <c r="AA53" s="256">
        <f t="shared" si="42"/>
        <v>0</v>
      </c>
      <c r="AB53" s="256">
        <f t="shared" si="42"/>
        <v>0</v>
      </c>
      <c r="AC53" s="264"/>
      <c r="AD53" s="255" t="s">
        <v>218</v>
      </c>
      <c r="AE53" s="256" t="e">
        <f ca="1">colorcount($E53:$N53,$S$3)+colorcount($E53:$N53,$S$4)+colorcount($E53:$N53,$S$5)+colorcount($E53:$N53,$S$6)+colorcount($E53:$N53,$S$7)+colorcount($E53:$N53,$S$9)+colorcount($E53:$N53,$S$10)+colorcount($E53:$N53,$S$11)+colorcount($E53:$N53,$S$12)</f>
        <v>#NAME?</v>
      </c>
      <c r="AF53" s="256" t="e">
        <f ca="1">colorcount($E53:$N53,$S$15)</f>
        <v>#NAME?</v>
      </c>
      <c r="AG53" s="256" t="e">
        <f ca="1">colorcount($E53:$N53,$S$17)+colorcount($E53:$N53,$S$18)+colorcount($E53:$N53,$S$19)+colorcount($E53:$N53,$S$20)+colorcount($E53:$N53,$S$21)</f>
        <v>#NAME?</v>
      </c>
      <c r="AH53" s="256" t="e">
        <f ca="1">colorcount($E53:$N53,$S$23)</f>
        <v>#NAME?</v>
      </c>
      <c r="AI53" s="256" t="e">
        <f ca="1">colorcount($E53:$N53,$S$26)</f>
        <v>#NAME?</v>
      </c>
      <c r="AJ53" s="256" t="e">
        <f ca="1">colorcount($E53:$N53,$S$28)</f>
        <v>#NAME?</v>
      </c>
      <c r="AK53" s="264"/>
      <c r="AL53" s="255" t="s">
        <v>218</v>
      </c>
      <c r="AM53" s="277" t="e">
        <f t="shared" ref="AM53:AR53" ca="1" si="43">IF(W53=AE53,"O","X")</f>
        <v>#NAME?</v>
      </c>
      <c r="AN53" s="277" t="e">
        <f t="shared" ca="1" si="43"/>
        <v>#NAME?</v>
      </c>
      <c r="AO53" s="277" t="e">
        <f t="shared" ca="1" si="43"/>
        <v>#NAME?</v>
      </c>
      <c r="AP53" s="277" t="e">
        <f t="shared" ca="1" si="43"/>
        <v>#NAME?</v>
      </c>
      <c r="AQ53" s="277" t="e">
        <f t="shared" ca="1" si="43"/>
        <v>#NAME?</v>
      </c>
      <c r="AR53" s="277" t="e">
        <f t="shared" ca="1" si="43"/>
        <v>#NAME?</v>
      </c>
    </row>
    <row r="54" spans="1:44" ht="30" customHeight="1">
      <c r="A54" s="212"/>
      <c r="B54" s="227" t="s">
        <v>219</v>
      </c>
      <c r="C54" s="213"/>
      <c r="D54" s="360"/>
      <c r="E54" s="364" t="s">
        <v>48</v>
      </c>
      <c r="F54" s="217" t="s">
        <v>48</v>
      </c>
      <c r="G54" s="217" t="s">
        <v>48</v>
      </c>
      <c r="H54" s="217" t="s">
        <v>48</v>
      </c>
      <c r="I54" s="217" t="s">
        <v>48</v>
      </c>
      <c r="J54" s="456" t="s">
        <v>220</v>
      </c>
      <c r="K54" s="217" t="s">
        <v>48</v>
      </c>
      <c r="L54" s="217" t="s">
        <v>48</v>
      </c>
      <c r="M54" s="217" t="s">
        <v>48</v>
      </c>
      <c r="N54" s="242" t="s">
        <v>48</v>
      </c>
      <c r="O54" s="412"/>
      <c r="P54" s="353"/>
      <c r="Q54" s="356"/>
      <c r="R54" s="102"/>
      <c r="V54" s="255"/>
      <c r="W54" s="256"/>
      <c r="X54" s="256"/>
      <c r="Y54" s="256"/>
      <c r="Z54" s="256"/>
      <c r="AA54" s="256"/>
      <c r="AB54" s="256"/>
      <c r="AC54" s="264"/>
      <c r="AD54" s="255"/>
      <c r="AE54" s="256"/>
      <c r="AF54" s="256"/>
      <c r="AG54" s="256"/>
      <c r="AH54" s="256"/>
      <c r="AI54" s="256"/>
      <c r="AJ54" s="256"/>
      <c r="AK54" s="264"/>
      <c r="AL54" s="255"/>
      <c r="AM54" s="277"/>
      <c r="AN54" s="277"/>
      <c r="AO54" s="277"/>
      <c r="AP54" s="277"/>
      <c r="AQ54" s="277"/>
      <c r="AR54" s="277"/>
    </row>
    <row r="55" spans="1:44" ht="14.1" customHeight="1">
      <c r="A55" s="513" t="s">
        <v>221</v>
      </c>
      <c r="B55" s="546" t="s">
        <v>222</v>
      </c>
      <c r="C55" s="560"/>
      <c r="D55" s="567"/>
      <c r="E55" s="363" t="s">
        <v>34</v>
      </c>
      <c r="F55" s="218" t="s">
        <v>36</v>
      </c>
      <c r="G55" s="215" t="s">
        <v>35</v>
      </c>
      <c r="H55" s="215" t="s">
        <v>34</v>
      </c>
      <c r="I55" s="215" t="s">
        <v>35</v>
      </c>
      <c r="J55" s="215" t="s">
        <v>34</v>
      </c>
      <c r="K55" s="215" t="s">
        <v>34</v>
      </c>
      <c r="L55" s="218" t="s">
        <v>36</v>
      </c>
      <c r="M55" s="215" t="s">
        <v>35</v>
      </c>
      <c r="N55" s="241" t="s">
        <v>35</v>
      </c>
      <c r="O55" s="409"/>
      <c r="P55" s="421"/>
      <c r="Q55" s="158"/>
      <c r="R55" s="102"/>
      <c r="V55" s="253" t="s">
        <v>38</v>
      </c>
      <c r="W55" s="253" t="s">
        <v>35</v>
      </c>
      <c r="X55" s="253" t="s">
        <v>39</v>
      </c>
      <c r="Y55" s="275" t="s">
        <v>34</v>
      </c>
      <c r="Z55" s="275" t="s">
        <v>36</v>
      </c>
      <c r="AA55" s="275" t="s">
        <v>40</v>
      </c>
      <c r="AB55" s="275" t="s">
        <v>41</v>
      </c>
      <c r="AC55" s="264"/>
      <c r="AD55" s="253" t="s">
        <v>38</v>
      </c>
      <c r="AE55" s="253" t="s">
        <v>35</v>
      </c>
      <c r="AF55" s="253" t="s">
        <v>39</v>
      </c>
      <c r="AG55" s="275" t="s">
        <v>34</v>
      </c>
      <c r="AH55" s="275" t="s">
        <v>36</v>
      </c>
      <c r="AI55" s="275" t="s">
        <v>40</v>
      </c>
      <c r="AJ55" s="275" t="s">
        <v>41</v>
      </c>
      <c r="AK55" s="264"/>
      <c r="AL55" s="253" t="s">
        <v>38</v>
      </c>
      <c r="AM55" s="276" t="s">
        <v>35</v>
      </c>
      <c r="AN55" s="276" t="s">
        <v>39</v>
      </c>
      <c r="AO55" s="275" t="s">
        <v>34</v>
      </c>
      <c r="AP55" s="275" t="s">
        <v>36</v>
      </c>
      <c r="AQ55" s="275" t="s">
        <v>40</v>
      </c>
      <c r="AR55" s="275" t="s">
        <v>41</v>
      </c>
    </row>
    <row r="56" spans="1:44" ht="30" customHeight="1">
      <c r="A56" s="513"/>
      <c r="B56" s="546"/>
      <c r="C56" s="560"/>
      <c r="D56" s="567"/>
      <c r="E56" s="56" t="s">
        <v>43</v>
      </c>
      <c r="F56" s="220" t="s">
        <v>46</v>
      </c>
      <c r="G56" s="38" t="s">
        <v>223</v>
      </c>
      <c r="H56" s="57" t="s">
        <v>77</v>
      </c>
      <c r="I56" s="38" t="s">
        <v>224</v>
      </c>
      <c r="J56" s="57" t="s">
        <v>127</v>
      </c>
      <c r="K56" s="57" t="s">
        <v>225</v>
      </c>
      <c r="L56" s="220" t="s">
        <v>46</v>
      </c>
      <c r="M56" s="38" t="s">
        <v>226</v>
      </c>
      <c r="N56" s="82" t="s">
        <v>1687</v>
      </c>
      <c r="O56" s="412"/>
      <c r="P56" s="428" t="s">
        <v>702</v>
      </c>
      <c r="Q56" s="395" t="s">
        <v>864</v>
      </c>
      <c r="R56" s="102"/>
      <c r="V56" s="255" t="s">
        <v>222</v>
      </c>
      <c r="W56" s="256">
        <f t="shared" ref="W56:AB56" si="44">COUNTIF($E55:$N55,W55)</f>
        <v>4</v>
      </c>
      <c r="X56" s="256">
        <f t="shared" si="44"/>
        <v>0</v>
      </c>
      <c r="Y56" s="256">
        <f t="shared" si="44"/>
        <v>4</v>
      </c>
      <c r="Z56" s="256">
        <f t="shared" si="44"/>
        <v>2</v>
      </c>
      <c r="AA56" s="256">
        <f t="shared" si="44"/>
        <v>0</v>
      </c>
      <c r="AB56" s="256">
        <f t="shared" si="44"/>
        <v>0</v>
      </c>
      <c r="AC56" s="264"/>
      <c r="AD56" s="255" t="s">
        <v>222</v>
      </c>
      <c r="AE56" s="256" t="e">
        <f ca="1">colorcount($E56:$N56,$S$3)+colorcount($E56:$N56,$S$4)+colorcount($E56:$N56,$S$5)+colorcount($E56:$N56,$S$6)+colorcount($E56:$N56,$S$7)+colorcount($E56:$N56,$S$9)+colorcount($E56:$N56,$S$10)+colorcount($E56:$N56,$S$11)+colorcount($E56:$N56,$S$12)</f>
        <v>#NAME?</v>
      </c>
      <c r="AF56" s="256" t="e">
        <f ca="1">colorcount($E56:$N56,$S$15)</f>
        <v>#NAME?</v>
      </c>
      <c r="AG56" s="256" t="e">
        <f ca="1">colorcount($E56:$N56,$S$17)+colorcount($E56:$N56,$S$18)+colorcount($E56:$N56,$S$19)+colorcount($E56:$N56,$S$20)+colorcount($E56:$N56,$S$21)</f>
        <v>#NAME?</v>
      </c>
      <c r="AH56" s="256" t="e">
        <f ca="1">colorcount($E56:$N56,$S$23)</f>
        <v>#NAME?</v>
      </c>
      <c r="AI56" s="256" t="e">
        <f ca="1">colorcount($E56:$N56,$S$26)</f>
        <v>#NAME?</v>
      </c>
      <c r="AJ56" s="256" t="e">
        <f ca="1">colorcount($E56:$N56,$S$28)</f>
        <v>#NAME?</v>
      </c>
      <c r="AK56" s="264"/>
      <c r="AL56" s="255" t="s">
        <v>222</v>
      </c>
      <c r="AM56" s="277" t="e">
        <f t="shared" ref="AM56:AR56" ca="1" si="45">IF(W56=AE56,"O","X")</f>
        <v>#NAME?</v>
      </c>
      <c r="AN56" s="277" t="e">
        <f t="shared" ca="1" si="45"/>
        <v>#NAME?</v>
      </c>
      <c r="AO56" s="277" t="e">
        <f t="shared" ca="1" si="45"/>
        <v>#NAME?</v>
      </c>
      <c r="AP56" s="277" t="e">
        <f t="shared" ca="1" si="45"/>
        <v>#NAME?</v>
      </c>
      <c r="AQ56" s="277" t="e">
        <f t="shared" ca="1" si="45"/>
        <v>#NAME?</v>
      </c>
      <c r="AR56" s="277" t="e">
        <f t="shared" ca="1" si="45"/>
        <v>#NAME?</v>
      </c>
    </row>
    <row r="57" spans="1:44" ht="30" customHeight="1">
      <c r="A57" s="497"/>
      <c r="B57" s="227" t="s">
        <v>1598</v>
      </c>
      <c r="C57" s="496"/>
      <c r="D57" s="495"/>
      <c r="E57" s="364" t="s">
        <v>48</v>
      </c>
      <c r="F57" s="217" t="s">
        <v>48</v>
      </c>
      <c r="G57" s="217" t="s">
        <v>48</v>
      </c>
      <c r="H57" s="217" t="s">
        <v>48</v>
      </c>
      <c r="I57" s="217" t="s">
        <v>48</v>
      </c>
      <c r="J57" s="217" t="s">
        <v>48</v>
      </c>
      <c r="K57" s="217" t="s">
        <v>48</v>
      </c>
      <c r="L57" s="469" t="s">
        <v>1652</v>
      </c>
      <c r="M57" s="217" t="s">
        <v>48</v>
      </c>
      <c r="N57" s="242" t="s">
        <v>48</v>
      </c>
      <c r="O57" s="412"/>
      <c r="P57" s="428"/>
      <c r="Q57" s="395"/>
      <c r="R57" s="102"/>
      <c r="V57" s="255"/>
      <c r="W57" s="256"/>
      <c r="X57" s="256"/>
      <c r="Y57" s="256"/>
      <c r="Z57" s="256"/>
      <c r="AA57" s="256"/>
      <c r="AB57" s="256"/>
      <c r="AC57" s="264"/>
      <c r="AD57" s="255"/>
      <c r="AE57" s="256"/>
      <c r="AF57" s="256"/>
      <c r="AG57" s="256"/>
      <c r="AH57" s="256"/>
      <c r="AI57" s="256"/>
      <c r="AJ57" s="256"/>
      <c r="AK57" s="264"/>
      <c r="AL57" s="255"/>
      <c r="AM57" s="277"/>
      <c r="AN57" s="277"/>
      <c r="AO57" s="277"/>
      <c r="AP57" s="277"/>
      <c r="AQ57" s="277"/>
      <c r="AR57" s="277"/>
    </row>
    <row r="58" spans="1:44" ht="14.1" customHeight="1">
      <c r="A58" s="513" t="s">
        <v>227</v>
      </c>
      <c r="B58" s="546" t="s">
        <v>228</v>
      </c>
      <c r="C58" s="560"/>
      <c r="D58" s="567"/>
      <c r="E58" s="363" t="s">
        <v>35</v>
      </c>
      <c r="F58" s="215" t="s">
        <v>35</v>
      </c>
      <c r="G58" s="215" t="s">
        <v>35</v>
      </c>
      <c r="H58" s="215" t="s">
        <v>35</v>
      </c>
      <c r="I58" s="215" t="s">
        <v>34</v>
      </c>
      <c r="J58" s="240" t="s">
        <v>35</v>
      </c>
      <c r="K58" s="215" t="s">
        <v>34</v>
      </c>
      <c r="L58" s="215" t="s">
        <v>35</v>
      </c>
      <c r="M58" s="215" t="s">
        <v>34</v>
      </c>
      <c r="N58" s="241" t="s">
        <v>39</v>
      </c>
      <c r="O58" s="409"/>
      <c r="P58" s="421"/>
      <c r="Q58" s="426"/>
      <c r="R58" s="102"/>
      <c r="V58" s="253" t="s">
        <v>38</v>
      </c>
      <c r="W58" s="253" t="s">
        <v>35</v>
      </c>
      <c r="X58" s="253" t="s">
        <v>39</v>
      </c>
      <c r="Y58" s="275" t="s">
        <v>34</v>
      </c>
      <c r="Z58" s="275" t="s">
        <v>36</v>
      </c>
      <c r="AA58" s="275" t="s">
        <v>40</v>
      </c>
      <c r="AB58" s="275" t="s">
        <v>41</v>
      </c>
      <c r="AC58" s="264"/>
      <c r="AD58" s="253" t="s">
        <v>38</v>
      </c>
      <c r="AE58" s="253" t="s">
        <v>35</v>
      </c>
      <c r="AF58" s="253" t="s">
        <v>39</v>
      </c>
      <c r="AG58" s="275" t="s">
        <v>34</v>
      </c>
      <c r="AH58" s="275" t="s">
        <v>36</v>
      </c>
      <c r="AI58" s="275" t="s">
        <v>40</v>
      </c>
      <c r="AJ58" s="275" t="s">
        <v>41</v>
      </c>
      <c r="AK58" s="264"/>
      <c r="AL58" s="253" t="s">
        <v>38</v>
      </c>
      <c r="AM58" s="276" t="s">
        <v>35</v>
      </c>
      <c r="AN58" s="276" t="s">
        <v>39</v>
      </c>
      <c r="AO58" s="275" t="s">
        <v>34</v>
      </c>
      <c r="AP58" s="275" t="s">
        <v>36</v>
      </c>
      <c r="AQ58" s="275" t="s">
        <v>40</v>
      </c>
      <c r="AR58" s="275" t="s">
        <v>41</v>
      </c>
    </row>
    <row r="59" spans="1:44" ht="30" customHeight="1">
      <c r="A59" s="513"/>
      <c r="B59" s="546"/>
      <c r="C59" s="560"/>
      <c r="D59" s="567"/>
      <c r="E59" s="37" t="s">
        <v>1571</v>
      </c>
      <c r="F59" s="46" t="s">
        <v>1773</v>
      </c>
      <c r="G59" s="38" t="s">
        <v>230</v>
      </c>
      <c r="H59" s="38" t="s">
        <v>231</v>
      </c>
      <c r="I59" s="57" t="s">
        <v>77</v>
      </c>
      <c r="J59" s="38" t="s">
        <v>232</v>
      </c>
      <c r="K59" s="39" t="s">
        <v>1531</v>
      </c>
      <c r="L59" s="38" t="s">
        <v>233</v>
      </c>
      <c r="M59" s="39" t="s">
        <v>234</v>
      </c>
      <c r="N59" s="244" t="s">
        <v>235</v>
      </c>
      <c r="O59" s="412"/>
      <c r="P59" s="427" t="s">
        <v>549</v>
      </c>
      <c r="Q59" s="395" t="s">
        <v>864</v>
      </c>
      <c r="R59" s="102"/>
      <c r="V59" s="274" t="s">
        <v>228</v>
      </c>
      <c r="W59" s="256">
        <f t="shared" ref="W59:AB59" si="46">COUNTIF($E58:$N58,W58)</f>
        <v>6</v>
      </c>
      <c r="X59" s="256">
        <f t="shared" si="46"/>
        <v>1</v>
      </c>
      <c r="Y59" s="256">
        <f t="shared" si="46"/>
        <v>3</v>
      </c>
      <c r="Z59" s="256">
        <f t="shared" si="46"/>
        <v>0</v>
      </c>
      <c r="AA59" s="256">
        <f t="shared" si="46"/>
        <v>0</v>
      </c>
      <c r="AB59" s="256">
        <f t="shared" si="46"/>
        <v>0</v>
      </c>
      <c r="AC59" s="264"/>
      <c r="AD59" s="274" t="s">
        <v>228</v>
      </c>
      <c r="AE59" s="256" t="e">
        <f ca="1">colorcount($E59:$N59,$S$3)+colorcount($E59:$N59,$S$4)+colorcount($E59:$N59,$S$5)+colorcount($E59:$N59,$S$6)+colorcount($E59:$N59,$S$7)+colorcount($E59:$N59,$S$9)+colorcount($E59:$N59,$S$10)+colorcount($E59:$N59,$S$11)+colorcount($E59:$N59,$S$12)</f>
        <v>#NAME?</v>
      </c>
      <c r="AF59" s="256" t="e">
        <f ca="1">colorcount($E59:$N59,$S$15)</f>
        <v>#NAME?</v>
      </c>
      <c r="AG59" s="256" t="e">
        <f ca="1">colorcount($E59:$N59,$S$17)+colorcount($E59:$N59,$S$18)+colorcount($E59:$N59,$S$19)+colorcount($E59:$N59,$S$20)+colorcount($E59:$N59,$S$21)</f>
        <v>#NAME?</v>
      </c>
      <c r="AH59" s="256" t="e">
        <f ca="1">colorcount($E59:$N59,$S$23)</f>
        <v>#NAME?</v>
      </c>
      <c r="AI59" s="256" t="e">
        <f ca="1">colorcount($E59:$N59,$S$26)</f>
        <v>#NAME?</v>
      </c>
      <c r="AJ59" s="256" t="e">
        <f ca="1">colorcount($E59:$N59,$S$28)</f>
        <v>#NAME?</v>
      </c>
      <c r="AK59" s="264"/>
      <c r="AL59" s="274" t="s">
        <v>228</v>
      </c>
      <c r="AM59" s="277" t="e">
        <f t="shared" ref="AM59:AR59" ca="1" si="47">IF(W59=AE59,"O","X")</f>
        <v>#NAME?</v>
      </c>
      <c r="AN59" s="277" t="e">
        <f t="shared" ca="1" si="47"/>
        <v>#NAME?</v>
      </c>
      <c r="AO59" s="277" t="e">
        <f t="shared" ca="1" si="47"/>
        <v>#NAME?</v>
      </c>
      <c r="AP59" s="277" t="e">
        <f t="shared" ca="1" si="47"/>
        <v>#NAME?</v>
      </c>
      <c r="AQ59" s="277" t="e">
        <f t="shared" ca="1" si="47"/>
        <v>#NAME?</v>
      </c>
      <c r="AR59" s="277" t="e">
        <f t="shared" ca="1" si="47"/>
        <v>#NAME?</v>
      </c>
    </row>
    <row r="60" spans="1:44" ht="14.1" customHeight="1">
      <c r="A60" s="513" t="s">
        <v>236</v>
      </c>
      <c r="B60" s="546" t="s">
        <v>237</v>
      </c>
      <c r="C60" s="560"/>
      <c r="D60" s="567"/>
      <c r="E60" s="363" t="s">
        <v>34</v>
      </c>
      <c r="F60" s="215" t="s">
        <v>35</v>
      </c>
      <c r="G60" s="215" t="s">
        <v>34</v>
      </c>
      <c r="H60" s="215" t="s">
        <v>35</v>
      </c>
      <c r="I60" s="215" t="s">
        <v>34</v>
      </c>
      <c r="J60" s="215" t="s">
        <v>35</v>
      </c>
      <c r="K60" s="215" t="s">
        <v>35</v>
      </c>
      <c r="L60" s="215" t="s">
        <v>35</v>
      </c>
      <c r="M60" s="215" t="s">
        <v>35</v>
      </c>
      <c r="N60" s="241" t="s">
        <v>35</v>
      </c>
      <c r="O60" s="409"/>
      <c r="P60" s="147"/>
      <c r="Q60" s="158"/>
      <c r="R60" s="102"/>
      <c r="V60" s="253" t="s">
        <v>38</v>
      </c>
      <c r="W60" s="253" t="s">
        <v>35</v>
      </c>
      <c r="X60" s="253" t="s">
        <v>39</v>
      </c>
      <c r="Y60" s="275" t="s">
        <v>34</v>
      </c>
      <c r="Z60" s="275" t="s">
        <v>36</v>
      </c>
      <c r="AA60" s="275" t="s">
        <v>40</v>
      </c>
      <c r="AB60" s="275" t="s">
        <v>41</v>
      </c>
      <c r="AC60" s="264"/>
      <c r="AD60" s="253" t="s">
        <v>38</v>
      </c>
      <c r="AE60" s="253" t="s">
        <v>35</v>
      </c>
      <c r="AF60" s="253" t="s">
        <v>39</v>
      </c>
      <c r="AG60" s="275" t="s">
        <v>34</v>
      </c>
      <c r="AH60" s="275" t="s">
        <v>36</v>
      </c>
      <c r="AI60" s="275" t="s">
        <v>40</v>
      </c>
      <c r="AJ60" s="275" t="s">
        <v>41</v>
      </c>
      <c r="AK60" s="264"/>
      <c r="AL60" s="253" t="s">
        <v>38</v>
      </c>
      <c r="AM60" s="276" t="s">
        <v>35</v>
      </c>
      <c r="AN60" s="276" t="s">
        <v>39</v>
      </c>
      <c r="AO60" s="275" t="s">
        <v>34</v>
      </c>
      <c r="AP60" s="275" t="s">
        <v>36</v>
      </c>
      <c r="AQ60" s="275" t="s">
        <v>40</v>
      </c>
      <c r="AR60" s="275" t="s">
        <v>41</v>
      </c>
    </row>
    <row r="61" spans="1:44" ht="30" customHeight="1">
      <c r="A61" s="513"/>
      <c r="B61" s="546"/>
      <c r="C61" s="560"/>
      <c r="D61" s="567"/>
      <c r="E61" s="56" t="s">
        <v>147</v>
      </c>
      <c r="F61" s="38" t="s">
        <v>238</v>
      </c>
      <c r="G61" s="39" t="s">
        <v>234</v>
      </c>
      <c r="H61" s="43" t="s">
        <v>239</v>
      </c>
      <c r="I61" s="39" t="s">
        <v>240</v>
      </c>
      <c r="J61" s="40" t="s">
        <v>1741</v>
      </c>
      <c r="K61" s="38" t="s">
        <v>241</v>
      </c>
      <c r="L61" s="456" t="s">
        <v>242</v>
      </c>
      <c r="M61" s="46" t="s">
        <v>1693</v>
      </c>
      <c r="N61" s="77" t="s">
        <v>243</v>
      </c>
      <c r="O61" s="412"/>
      <c r="P61" s="419" t="s">
        <v>712</v>
      </c>
      <c r="Q61" s="395" t="s">
        <v>864</v>
      </c>
      <c r="R61" s="102"/>
      <c r="V61" s="274" t="s">
        <v>237</v>
      </c>
      <c r="W61" s="256">
        <f t="shared" ref="W61:AB61" si="48">COUNTIF($E60:$N60,W60)</f>
        <v>7</v>
      </c>
      <c r="X61" s="256">
        <f t="shared" si="48"/>
        <v>0</v>
      </c>
      <c r="Y61" s="256">
        <f t="shared" si="48"/>
        <v>3</v>
      </c>
      <c r="Z61" s="256">
        <f t="shared" si="48"/>
        <v>0</v>
      </c>
      <c r="AA61" s="256">
        <f t="shared" si="48"/>
        <v>0</v>
      </c>
      <c r="AB61" s="256">
        <f t="shared" si="48"/>
        <v>0</v>
      </c>
      <c r="AC61" s="264"/>
      <c r="AD61" s="274" t="s">
        <v>237</v>
      </c>
      <c r="AE61" s="256" t="e">
        <f ca="1">colorcount($E61:$N61,$S$3)+colorcount($E61:$N61,$S$4)+colorcount($E61:$N61,$S$5)+colorcount($E61:$N61,$S$6)+colorcount($E61:$N61,$S$7)+colorcount($E61:$N61,$S$9)+colorcount($E61:$N61,$S$10)+colorcount($E61:$N61,$S$11)+colorcount($E61:$N61,$S$12)</f>
        <v>#NAME?</v>
      </c>
      <c r="AF61" s="256" t="e">
        <f ca="1">colorcount($E61:$N61,$S$15)</f>
        <v>#NAME?</v>
      </c>
      <c r="AG61" s="256" t="e">
        <f ca="1">colorcount($E61:$N61,$S$17)+colorcount($E61:$N61,$S$18)+colorcount($E61:$N61,$S$19)+colorcount($E61:$N61,$S$20)+colorcount($E61:$N61,$S$21)</f>
        <v>#NAME?</v>
      </c>
      <c r="AH61" s="256" t="e">
        <f ca="1">colorcount($E61:$N61,$S$23)</f>
        <v>#NAME?</v>
      </c>
      <c r="AI61" s="256" t="e">
        <f ca="1">colorcount($E61:$N61,$S$26)</f>
        <v>#NAME?</v>
      </c>
      <c r="AJ61" s="256" t="e">
        <f ca="1">colorcount($E61:$N61,$S$28)</f>
        <v>#NAME?</v>
      </c>
      <c r="AK61" s="264"/>
      <c r="AL61" s="274" t="s">
        <v>237</v>
      </c>
      <c r="AM61" s="277" t="e">
        <f t="shared" ref="AM61:AR61" ca="1" si="49">IF(W61=AE61,"O","X")</f>
        <v>#NAME?</v>
      </c>
      <c r="AN61" s="277" t="e">
        <f t="shared" ca="1" si="49"/>
        <v>#NAME?</v>
      </c>
      <c r="AO61" s="277" t="e">
        <f t="shared" ca="1" si="49"/>
        <v>#NAME?</v>
      </c>
      <c r="AP61" s="277" t="e">
        <f t="shared" ca="1" si="49"/>
        <v>#NAME?</v>
      </c>
      <c r="AQ61" s="277" t="e">
        <f t="shared" ca="1" si="49"/>
        <v>#NAME?</v>
      </c>
      <c r="AR61" s="277" t="e">
        <f t="shared" ca="1" si="49"/>
        <v>#NAME?</v>
      </c>
    </row>
    <row r="62" spans="1:44" ht="14.1" customHeight="1">
      <c r="A62" s="513" t="s">
        <v>244</v>
      </c>
      <c r="B62" s="547" t="s">
        <v>245</v>
      </c>
      <c r="C62" s="560"/>
      <c r="D62" s="567"/>
      <c r="E62" s="363" t="s">
        <v>39</v>
      </c>
      <c r="F62" s="215" t="s">
        <v>41</v>
      </c>
      <c r="G62" s="215" t="s">
        <v>34</v>
      </c>
      <c r="H62" s="215" t="s">
        <v>34</v>
      </c>
      <c r="I62" s="215" t="s">
        <v>39</v>
      </c>
      <c r="J62" s="215" t="s">
        <v>35</v>
      </c>
      <c r="K62" s="230" t="s">
        <v>40</v>
      </c>
      <c r="L62" s="240" t="s">
        <v>35</v>
      </c>
      <c r="M62" s="215" t="s">
        <v>34</v>
      </c>
      <c r="N62" s="241" t="s">
        <v>34</v>
      </c>
      <c r="O62" s="352"/>
      <c r="P62" s="421"/>
      <c r="Q62" s="426"/>
      <c r="R62" s="102"/>
      <c r="V62" s="253" t="s">
        <v>38</v>
      </c>
      <c r="W62" s="253" t="s">
        <v>35</v>
      </c>
      <c r="X62" s="253" t="s">
        <v>39</v>
      </c>
      <c r="Y62" s="275" t="s">
        <v>34</v>
      </c>
      <c r="Z62" s="275" t="s">
        <v>36</v>
      </c>
      <c r="AA62" s="275" t="s">
        <v>40</v>
      </c>
      <c r="AB62" s="275" t="s">
        <v>41</v>
      </c>
      <c r="AC62" s="264"/>
      <c r="AD62" s="253" t="s">
        <v>38</v>
      </c>
      <c r="AE62" s="253" t="s">
        <v>35</v>
      </c>
      <c r="AF62" s="253" t="s">
        <v>39</v>
      </c>
      <c r="AG62" s="275" t="s">
        <v>34</v>
      </c>
      <c r="AH62" s="275" t="s">
        <v>36</v>
      </c>
      <c r="AI62" s="275" t="s">
        <v>40</v>
      </c>
      <c r="AJ62" s="275" t="s">
        <v>41</v>
      </c>
      <c r="AK62" s="264"/>
      <c r="AL62" s="253" t="s">
        <v>38</v>
      </c>
      <c r="AM62" s="276" t="s">
        <v>35</v>
      </c>
      <c r="AN62" s="276" t="s">
        <v>39</v>
      </c>
      <c r="AO62" s="275" t="s">
        <v>34</v>
      </c>
      <c r="AP62" s="275" t="s">
        <v>36</v>
      </c>
      <c r="AQ62" s="275" t="s">
        <v>40</v>
      </c>
      <c r="AR62" s="275" t="s">
        <v>41</v>
      </c>
    </row>
    <row r="63" spans="1:44" ht="30" customHeight="1">
      <c r="A63" s="513"/>
      <c r="B63" s="547"/>
      <c r="C63" s="560"/>
      <c r="D63" s="567"/>
      <c r="E63" s="369" t="s">
        <v>58</v>
      </c>
      <c r="F63" s="228" t="s">
        <v>41</v>
      </c>
      <c r="G63" s="229" t="s">
        <v>246</v>
      </c>
      <c r="H63" s="39" t="s">
        <v>1206</v>
      </c>
      <c r="I63" s="221" t="s">
        <v>58</v>
      </c>
      <c r="J63" s="38" t="s">
        <v>247</v>
      </c>
      <c r="K63" s="250" t="s">
        <v>262</v>
      </c>
      <c r="L63" s="38" t="s">
        <v>249</v>
      </c>
      <c r="M63" s="39" t="s">
        <v>240</v>
      </c>
      <c r="N63" s="88" t="s">
        <v>1531</v>
      </c>
      <c r="O63" s="408"/>
      <c r="P63" s="429" t="s">
        <v>150</v>
      </c>
      <c r="Q63" s="395" t="s">
        <v>864</v>
      </c>
      <c r="R63" s="102"/>
      <c r="V63" s="274" t="s">
        <v>245</v>
      </c>
      <c r="W63" s="256">
        <f t="shared" ref="W63:AB63" si="50">COUNTIF($E62:$N62,W62)</f>
        <v>2</v>
      </c>
      <c r="X63" s="256">
        <f t="shared" si="50"/>
        <v>2</v>
      </c>
      <c r="Y63" s="256">
        <f t="shared" si="50"/>
        <v>4</v>
      </c>
      <c r="Z63" s="256">
        <f t="shared" si="50"/>
        <v>0</v>
      </c>
      <c r="AA63" s="256">
        <f t="shared" si="50"/>
        <v>1</v>
      </c>
      <c r="AB63" s="256">
        <f t="shared" si="50"/>
        <v>1</v>
      </c>
      <c r="AC63" s="264"/>
      <c r="AD63" s="274" t="s">
        <v>245</v>
      </c>
      <c r="AE63" s="256" t="e">
        <f ca="1">colorcount($E63:$N63,$S$3)+colorcount($E63:$N63,$S$4)+colorcount($E63:$N63,$S$5)+colorcount($E63:$N63,$S$6)+colorcount($E63:$N63,$S$7)+colorcount($E63:$N63,$S$9)+colorcount($E63:$N63,$S$10)+colorcount($E63:$N63,$S$11)+colorcount($E63:$N63,$S$12)</f>
        <v>#NAME?</v>
      </c>
      <c r="AF63" s="256" t="e">
        <f ca="1">colorcount($E63:$N63,$S$15)</f>
        <v>#NAME?</v>
      </c>
      <c r="AG63" s="256" t="e">
        <f ca="1">colorcount($E63:$N63,$S$17)+colorcount($E63:$N63,$S$18)+colorcount($E63:$N63,$S$19)+colorcount($E63:$N63,$S$20)+colorcount($E63:$N63,$S$21)</f>
        <v>#NAME?</v>
      </c>
      <c r="AH63" s="256" t="e">
        <f ca="1">colorcount($E63:$N63,$S$23)</f>
        <v>#NAME?</v>
      </c>
      <c r="AI63" s="256" t="e">
        <f ca="1">colorcount($E63:$N63,$S$26)</f>
        <v>#NAME?</v>
      </c>
      <c r="AJ63" s="256" t="e">
        <f ca="1">colorcount($E63:$N63,$S$28)</f>
        <v>#NAME?</v>
      </c>
      <c r="AK63" s="264"/>
      <c r="AL63" s="274" t="s">
        <v>245</v>
      </c>
      <c r="AM63" s="277" t="e">
        <f t="shared" ref="AM63:AR63" ca="1" si="51">IF(W63=AE63,"O","X")</f>
        <v>#NAME?</v>
      </c>
      <c r="AN63" s="277" t="e">
        <f t="shared" ca="1" si="51"/>
        <v>#NAME?</v>
      </c>
      <c r="AO63" s="277" t="e">
        <f t="shared" ca="1" si="51"/>
        <v>#NAME?</v>
      </c>
      <c r="AP63" s="277" t="e">
        <f t="shared" ca="1" si="51"/>
        <v>#NAME?</v>
      </c>
      <c r="AQ63" s="277" t="e">
        <f t="shared" ca="1" si="51"/>
        <v>#NAME?</v>
      </c>
      <c r="AR63" s="277" t="e">
        <f t="shared" ca="1" si="51"/>
        <v>#NAME?</v>
      </c>
    </row>
    <row r="64" spans="1:44" ht="14.1" customHeight="1">
      <c r="A64" s="513" t="s">
        <v>251</v>
      </c>
      <c r="B64" s="547" t="s">
        <v>252</v>
      </c>
      <c r="C64" s="560"/>
      <c r="D64" s="567"/>
      <c r="E64" s="363" t="s">
        <v>35</v>
      </c>
      <c r="F64" s="215" t="s">
        <v>35</v>
      </c>
      <c r="G64" s="215" t="s">
        <v>35</v>
      </c>
      <c r="H64" s="215" t="s">
        <v>35</v>
      </c>
      <c r="I64" s="215" t="s">
        <v>35</v>
      </c>
      <c r="J64" s="215" t="s">
        <v>35</v>
      </c>
      <c r="K64" s="133"/>
      <c r="L64" s="215" t="s">
        <v>35</v>
      </c>
      <c r="M64" s="215" t="s">
        <v>39</v>
      </c>
      <c r="N64" s="241" t="s">
        <v>35</v>
      </c>
      <c r="O64" s="352"/>
      <c r="P64" s="353"/>
      <c r="Q64" s="356"/>
      <c r="R64" s="102"/>
      <c r="V64" s="253" t="s">
        <v>38</v>
      </c>
      <c r="W64" s="253" t="s">
        <v>35</v>
      </c>
      <c r="X64" s="253" t="s">
        <v>39</v>
      </c>
      <c r="Y64" s="275" t="s">
        <v>34</v>
      </c>
      <c r="Z64" s="275" t="s">
        <v>36</v>
      </c>
      <c r="AA64" s="275" t="s">
        <v>40</v>
      </c>
      <c r="AB64" s="275" t="s">
        <v>41</v>
      </c>
      <c r="AC64" s="264"/>
      <c r="AD64" s="253" t="s">
        <v>38</v>
      </c>
      <c r="AE64" s="253" t="s">
        <v>35</v>
      </c>
      <c r="AF64" s="253" t="s">
        <v>39</v>
      </c>
      <c r="AG64" s="275" t="s">
        <v>34</v>
      </c>
      <c r="AH64" s="275" t="s">
        <v>36</v>
      </c>
      <c r="AI64" s="275" t="s">
        <v>40</v>
      </c>
      <c r="AJ64" s="275" t="s">
        <v>41</v>
      </c>
      <c r="AK64" s="264"/>
      <c r="AL64" s="253" t="s">
        <v>38</v>
      </c>
      <c r="AM64" s="276" t="s">
        <v>35</v>
      </c>
      <c r="AN64" s="276" t="s">
        <v>39</v>
      </c>
      <c r="AO64" s="275" t="s">
        <v>34</v>
      </c>
      <c r="AP64" s="275" t="s">
        <v>36</v>
      </c>
      <c r="AQ64" s="275" t="s">
        <v>40</v>
      </c>
      <c r="AR64" s="275" t="s">
        <v>41</v>
      </c>
    </row>
    <row r="65" spans="1:44" ht="30" customHeight="1">
      <c r="A65" s="513"/>
      <c r="B65" s="547"/>
      <c r="C65" s="560"/>
      <c r="D65" s="567"/>
      <c r="E65" s="51" t="s">
        <v>1626</v>
      </c>
      <c r="F65" s="456" t="s">
        <v>253</v>
      </c>
      <c r="G65" s="44" t="s">
        <v>254</v>
      </c>
      <c r="H65" s="38" t="s">
        <v>255</v>
      </c>
      <c r="I65" s="42" t="s">
        <v>256</v>
      </c>
      <c r="J65" s="38" t="s">
        <v>257</v>
      </c>
      <c r="K65" s="131" t="s">
        <v>864</v>
      </c>
      <c r="L65" s="42" t="s">
        <v>474</v>
      </c>
      <c r="M65" s="221" t="s">
        <v>235</v>
      </c>
      <c r="N65" s="457" t="s">
        <v>258</v>
      </c>
      <c r="O65" s="408"/>
      <c r="P65" s="419" t="s">
        <v>671</v>
      </c>
      <c r="Q65" s="395" t="s">
        <v>864</v>
      </c>
      <c r="R65" s="102"/>
      <c r="V65" s="274" t="s">
        <v>252</v>
      </c>
      <c r="W65" s="256">
        <f t="shared" ref="W65:AB65" si="52">COUNTIF($E64:$N64,W64)</f>
        <v>8</v>
      </c>
      <c r="X65" s="256">
        <f t="shared" si="52"/>
        <v>1</v>
      </c>
      <c r="Y65" s="256">
        <f t="shared" si="52"/>
        <v>0</v>
      </c>
      <c r="Z65" s="256">
        <f t="shared" si="52"/>
        <v>0</v>
      </c>
      <c r="AA65" s="256">
        <f t="shared" si="52"/>
        <v>0</v>
      </c>
      <c r="AB65" s="256">
        <f t="shared" si="52"/>
        <v>0</v>
      </c>
      <c r="AC65" s="264"/>
      <c r="AD65" s="274" t="s">
        <v>252</v>
      </c>
      <c r="AE65" s="256" t="e">
        <f ca="1">colorcount($E65:$N65,$S$3)+colorcount($E65:$N65,$S$4)+colorcount($E65:$N65,$S$5)+colorcount($E65:$N65,$S$6)+colorcount($E65:$N65,$S$7)+colorcount($E65:$N65,$S$9)+colorcount($E65:$N65,$S$10)+colorcount($E65:$N65,$S$11)+colorcount($E65:$N65,$S$12)</f>
        <v>#NAME?</v>
      </c>
      <c r="AF65" s="256" t="e">
        <f ca="1">colorcount($E65:$M65,$S$15)</f>
        <v>#NAME?</v>
      </c>
      <c r="AG65" s="256" t="e">
        <f ca="1">colorcount($E65:$M65,$S$17)+colorcount($E65:$M65,$S$18)+colorcount($E65:$M65,$S$19)+colorcount($E65:$M65,$S$20)+colorcount($E65:$M65,$S$21)</f>
        <v>#NAME?</v>
      </c>
      <c r="AH65" s="256" t="e">
        <f ca="1">colorcount($E65:$M65,$S$23)</f>
        <v>#NAME?</v>
      </c>
      <c r="AI65" s="256" t="e">
        <f ca="1">colorcount($E65:$M65,$S$26)</f>
        <v>#NAME?</v>
      </c>
      <c r="AJ65" s="256" t="e">
        <f ca="1">colorcount($E65:$M65,$S$28)</f>
        <v>#NAME?</v>
      </c>
      <c r="AK65" s="264"/>
      <c r="AL65" s="274" t="s">
        <v>252</v>
      </c>
      <c r="AM65" s="277" t="e">
        <f t="shared" ref="AM65:AR65" ca="1" si="53">IF(W65=AE65,"O","X")</f>
        <v>#NAME?</v>
      </c>
      <c r="AN65" s="277" t="e">
        <f t="shared" ca="1" si="53"/>
        <v>#NAME?</v>
      </c>
      <c r="AO65" s="277" t="e">
        <f t="shared" ca="1" si="53"/>
        <v>#NAME?</v>
      </c>
      <c r="AP65" s="277" t="e">
        <f t="shared" ca="1" si="53"/>
        <v>#NAME?</v>
      </c>
      <c r="AQ65" s="277" t="e">
        <f t="shared" ca="1" si="53"/>
        <v>#NAME?</v>
      </c>
      <c r="AR65" s="277" t="e">
        <f t="shared" ca="1" si="53"/>
        <v>#NAME?</v>
      </c>
    </row>
    <row r="66" spans="1:44" ht="14.1" customHeight="1">
      <c r="A66" s="513" t="s">
        <v>259</v>
      </c>
      <c r="B66" s="547" t="s">
        <v>260</v>
      </c>
      <c r="C66" s="560"/>
      <c r="D66" s="567"/>
      <c r="E66" s="363" t="s">
        <v>35</v>
      </c>
      <c r="F66" s="215" t="s">
        <v>35</v>
      </c>
      <c r="G66" s="230" t="s">
        <v>40</v>
      </c>
      <c r="H66" s="215" t="s">
        <v>35</v>
      </c>
      <c r="I66" s="215" t="s">
        <v>35</v>
      </c>
      <c r="J66" s="215" t="s">
        <v>35</v>
      </c>
      <c r="K66" s="215" t="s">
        <v>34</v>
      </c>
      <c r="L66" s="57" t="s">
        <v>1756</v>
      </c>
      <c r="M66" s="215" t="s">
        <v>35</v>
      </c>
      <c r="N66" s="241"/>
      <c r="O66" s="352"/>
      <c r="P66" s="353"/>
      <c r="Q66" s="356"/>
      <c r="R66" s="102"/>
      <c r="V66" s="253" t="s">
        <v>38</v>
      </c>
      <c r="W66" s="253" t="s">
        <v>35</v>
      </c>
      <c r="X66" s="253" t="s">
        <v>39</v>
      </c>
      <c r="Y66" s="275" t="s">
        <v>34</v>
      </c>
      <c r="Z66" s="275" t="s">
        <v>36</v>
      </c>
      <c r="AA66" s="275" t="s">
        <v>40</v>
      </c>
      <c r="AB66" s="275" t="s">
        <v>41</v>
      </c>
      <c r="AC66" s="264"/>
      <c r="AD66" s="253" t="s">
        <v>38</v>
      </c>
      <c r="AE66" s="253" t="s">
        <v>35</v>
      </c>
      <c r="AF66" s="253" t="s">
        <v>39</v>
      </c>
      <c r="AG66" s="275" t="s">
        <v>34</v>
      </c>
      <c r="AH66" s="275" t="s">
        <v>36</v>
      </c>
      <c r="AI66" s="275" t="s">
        <v>40</v>
      </c>
      <c r="AJ66" s="275" t="s">
        <v>41</v>
      </c>
      <c r="AK66" s="264"/>
      <c r="AL66" s="253" t="s">
        <v>38</v>
      </c>
      <c r="AM66" s="276" t="s">
        <v>35</v>
      </c>
      <c r="AN66" s="276" t="s">
        <v>39</v>
      </c>
      <c r="AO66" s="275" t="s">
        <v>34</v>
      </c>
      <c r="AP66" s="275" t="s">
        <v>36</v>
      </c>
      <c r="AQ66" s="275" t="s">
        <v>40</v>
      </c>
      <c r="AR66" s="275" t="s">
        <v>41</v>
      </c>
    </row>
    <row r="67" spans="1:44" ht="30" customHeight="1">
      <c r="A67" s="513"/>
      <c r="B67" s="547"/>
      <c r="C67" s="560"/>
      <c r="D67" s="567"/>
      <c r="E67" s="453" t="s">
        <v>1184</v>
      </c>
      <c r="F67" s="38" t="s">
        <v>261</v>
      </c>
      <c r="G67" s="250" t="s">
        <v>262</v>
      </c>
      <c r="H67" s="43" t="s">
        <v>183</v>
      </c>
      <c r="I67" s="38" t="s">
        <v>263</v>
      </c>
      <c r="J67" s="38" t="s">
        <v>264</v>
      </c>
      <c r="K67" s="229" t="s">
        <v>265</v>
      </c>
      <c r="L67" s="38" t="s">
        <v>266</v>
      </c>
      <c r="M67" s="38" t="s">
        <v>267</v>
      </c>
      <c r="N67" s="242" t="s">
        <v>48</v>
      </c>
      <c r="O67" s="408"/>
      <c r="P67" s="419" t="s">
        <v>1566</v>
      </c>
      <c r="Q67" s="395" t="s">
        <v>864</v>
      </c>
      <c r="R67" s="102"/>
      <c r="V67" s="274" t="s">
        <v>260</v>
      </c>
      <c r="W67" s="256">
        <f t="shared" ref="W67:AB67" si="54">COUNTIF($E66:$N66,W66)</f>
        <v>6</v>
      </c>
      <c r="X67" s="256">
        <f t="shared" si="54"/>
        <v>0</v>
      </c>
      <c r="Y67" s="256">
        <f t="shared" si="54"/>
        <v>1</v>
      </c>
      <c r="Z67" s="256">
        <f t="shared" si="54"/>
        <v>0</v>
      </c>
      <c r="AA67" s="256">
        <f t="shared" si="54"/>
        <v>1</v>
      </c>
      <c r="AB67" s="256">
        <f t="shared" si="54"/>
        <v>0</v>
      </c>
      <c r="AC67" s="264"/>
      <c r="AD67" s="274" t="s">
        <v>260</v>
      </c>
      <c r="AE67" s="256" t="e">
        <f ca="1">colorcount($E67:$N67,$S$3)+colorcount($E67:$N67,$S$4)+colorcount($E67:$N67,$S$5)+colorcount($E67:$N67,$S$6)+colorcount($E67:$N67,$S$7)+colorcount($E67:$N67,$S$9)+colorcount($E67:$N67,$S$10)+colorcount($E67:$N67,$S$11)+colorcount($E67:$N67,$S$12)</f>
        <v>#NAME?</v>
      </c>
      <c r="AF67" s="256" t="e">
        <f ca="1">colorcount($E67:$N67,$S$15)</f>
        <v>#NAME?</v>
      </c>
      <c r="AG67" s="256" t="e">
        <f ca="1">colorcount($E67:$N67,$S$17)+colorcount($E67:$N67,$S$18)+colorcount($E67:$N67,$S$19)+colorcount($E67:$N67,$S$20)+colorcount($E67:$N67,$S$21)</f>
        <v>#NAME?</v>
      </c>
      <c r="AH67" s="256" t="e">
        <f ca="1">colorcount($E67:$N67,$S$23)</f>
        <v>#NAME?</v>
      </c>
      <c r="AI67" s="256" t="e">
        <f ca="1">colorcount($E67:$N67,$S$26)</f>
        <v>#NAME?</v>
      </c>
      <c r="AJ67" s="256" t="e">
        <f ca="1">colorcount($E67:$N67,$S$28)</f>
        <v>#NAME?</v>
      </c>
      <c r="AK67" s="264"/>
      <c r="AL67" s="274" t="s">
        <v>260</v>
      </c>
      <c r="AM67" s="277" t="e">
        <f t="shared" ref="AM67:AR67" ca="1" si="55">IF(W67=AE67,"O","X")</f>
        <v>#NAME?</v>
      </c>
      <c r="AN67" s="277" t="e">
        <f t="shared" ca="1" si="55"/>
        <v>#NAME?</v>
      </c>
      <c r="AO67" s="277" t="e">
        <f t="shared" ca="1" si="55"/>
        <v>#NAME?</v>
      </c>
      <c r="AP67" s="277" t="e">
        <f t="shared" ca="1" si="55"/>
        <v>#NAME?</v>
      </c>
      <c r="AQ67" s="277" t="e">
        <f t="shared" ca="1" si="55"/>
        <v>#NAME?</v>
      </c>
      <c r="AR67" s="277" t="e">
        <f t="shared" ca="1" si="55"/>
        <v>#NAME?</v>
      </c>
    </row>
    <row r="68" spans="1:44" ht="14.1" customHeight="1">
      <c r="A68" s="513" t="s">
        <v>268</v>
      </c>
      <c r="B68" s="548" t="s">
        <v>269</v>
      </c>
      <c r="C68" s="560"/>
      <c r="D68" s="567"/>
      <c r="E68" s="363" t="s">
        <v>35</v>
      </c>
      <c r="F68" s="215" t="s">
        <v>35</v>
      </c>
      <c r="G68" s="215" t="s">
        <v>35</v>
      </c>
      <c r="H68" s="215" t="s">
        <v>35</v>
      </c>
      <c r="I68" s="215" t="s">
        <v>39</v>
      </c>
      <c r="J68" s="240" t="s">
        <v>35</v>
      </c>
      <c r="K68" s="215" t="s">
        <v>35</v>
      </c>
      <c r="L68" s="240" t="s">
        <v>35</v>
      </c>
      <c r="M68" s="215" t="s">
        <v>35</v>
      </c>
      <c r="N68" s="241" t="s">
        <v>35</v>
      </c>
      <c r="O68" s="413"/>
      <c r="P68" s="147"/>
      <c r="Q68" s="158"/>
      <c r="R68" s="102"/>
      <c r="V68" s="253" t="s">
        <v>38</v>
      </c>
      <c r="W68" s="253" t="s">
        <v>35</v>
      </c>
      <c r="X68" s="253" t="s">
        <v>39</v>
      </c>
      <c r="Y68" s="275" t="s">
        <v>34</v>
      </c>
      <c r="Z68" s="275" t="s">
        <v>36</v>
      </c>
      <c r="AA68" s="275" t="s">
        <v>40</v>
      </c>
      <c r="AB68" s="275" t="s">
        <v>41</v>
      </c>
      <c r="AC68" s="264"/>
      <c r="AD68" s="253" t="s">
        <v>38</v>
      </c>
      <c r="AE68" s="253" t="s">
        <v>35</v>
      </c>
      <c r="AF68" s="253" t="s">
        <v>39</v>
      </c>
      <c r="AG68" s="275" t="s">
        <v>34</v>
      </c>
      <c r="AH68" s="275" t="s">
        <v>36</v>
      </c>
      <c r="AI68" s="275" t="s">
        <v>40</v>
      </c>
      <c r="AJ68" s="275" t="s">
        <v>41</v>
      </c>
      <c r="AK68" s="264"/>
      <c r="AL68" s="253" t="s">
        <v>38</v>
      </c>
      <c r="AM68" s="276" t="s">
        <v>35</v>
      </c>
      <c r="AN68" s="276" t="s">
        <v>39</v>
      </c>
      <c r="AO68" s="275" t="s">
        <v>34</v>
      </c>
      <c r="AP68" s="275" t="s">
        <v>36</v>
      </c>
      <c r="AQ68" s="275" t="s">
        <v>40</v>
      </c>
      <c r="AR68" s="275" t="s">
        <v>41</v>
      </c>
    </row>
    <row r="69" spans="1:44" ht="30" customHeight="1">
      <c r="A69" s="513"/>
      <c r="B69" s="548"/>
      <c r="C69" s="560"/>
      <c r="D69" s="567"/>
      <c r="E69" s="37" t="s">
        <v>270</v>
      </c>
      <c r="F69" s="42" t="s">
        <v>271</v>
      </c>
      <c r="G69" s="46" t="s">
        <v>1633</v>
      </c>
      <c r="H69" s="38" t="s">
        <v>272</v>
      </c>
      <c r="I69" s="221" t="s">
        <v>59</v>
      </c>
      <c r="J69" s="38" t="s">
        <v>1554</v>
      </c>
      <c r="K69" s="38" t="s">
        <v>273</v>
      </c>
      <c r="L69" s="38" t="s">
        <v>274</v>
      </c>
      <c r="M69" s="38" t="s">
        <v>275</v>
      </c>
      <c r="N69" s="77" t="s">
        <v>276</v>
      </c>
      <c r="O69" s="413"/>
      <c r="P69" s="419" t="s">
        <v>747</v>
      </c>
      <c r="Q69" s="395" t="s">
        <v>864</v>
      </c>
      <c r="R69" s="102"/>
      <c r="V69" s="274" t="s">
        <v>269</v>
      </c>
      <c r="W69" s="256">
        <f t="shared" ref="W69:AB69" si="56">COUNTIF($E68:$N68,W68)</f>
        <v>9</v>
      </c>
      <c r="X69" s="256">
        <f t="shared" si="56"/>
        <v>1</v>
      </c>
      <c r="Y69" s="256">
        <f t="shared" si="56"/>
        <v>0</v>
      </c>
      <c r="Z69" s="256">
        <f t="shared" si="56"/>
        <v>0</v>
      </c>
      <c r="AA69" s="256">
        <f t="shared" si="56"/>
        <v>0</v>
      </c>
      <c r="AB69" s="256">
        <f t="shared" si="56"/>
        <v>0</v>
      </c>
      <c r="AC69" s="264"/>
      <c r="AD69" s="274" t="s">
        <v>269</v>
      </c>
      <c r="AE69" s="256" t="e">
        <f ca="1">colorcount($E69:$N69,$S$3)+colorcount($E69:$N69,$S$4)+colorcount($E69:$N69,$S$5)+colorcount($E69:$N69,$S$6)+colorcount($E69:$N69,$S$7)+colorcount($E69:$N69,$S$9)+colorcount($E69:$N69,$S$10)+colorcount($E69:$N69,$S$11)+colorcount($E69:$N69,$S$12)</f>
        <v>#NAME?</v>
      </c>
      <c r="AF69" s="256" t="e">
        <f ca="1">colorcount($E69:$N69,$S$15)</f>
        <v>#NAME?</v>
      </c>
      <c r="AG69" s="256" t="e">
        <f ca="1">colorcount($E69:$N69,$S$17)+colorcount($E69:$N69,$S$18)+colorcount($E69:$N69,$S$19)+colorcount($E69:$N69,$S$20)+colorcount($E69:$N69,$S$21)</f>
        <v>#NAME?</v>
      </c>
      <c r="AH69" s="256" t="e">
        <f ca="1">colorcount($E69:$N69,$S$23)</f>
        <v>#NAME?</v>
      </c>
      <c r="AI69" s="256" t="e">
        <f ca="1">colorcount($E69:$N69,$S$26)</f>
        <v>#NAME?</v>
      </c>
      <c r="AJ69" s="256" t="e">
        <f ca="1">colorcount($E69:$N69,$S$28)</f>
        <v>#NAME?</v>
      </c>
      <c r="AK69" s="264"/>
      <c r="AL69" s="274" t="s">
        <v>269</v>
      </c>
      <c r="AM69" s="277" t="e">
        <f t="shared" ref="AM69:AR69" ca="1" si="57">IF(W69=AE69,"O","X")</f>
        <v>#NAME?</v>
      </c>
      <c r="AN69" s="277" t="e">
        <f t="shared" ca="1" si="57"/>
        <v>#NAME?</v>
      </c>
      <c r="AO69" s="277" t="e">
        <f t="shared" ca="1" si="57"/>
        <v>#NAME?</v>
      </c>
      <c r="AP69" s="277" t="e">
        <f t="shared" ca="1" si="57"/>
        <v>#NAME?</v>
      </c>
      <c r="AQ69" s="277" t="e">
        <f t="shared" ca="1" si="57"/>
        <v>#NAME?</v>
      </c>
      <c r="AR69" s="277" t="e">
        <f t="shared" ca="1" si="57"/>
        <v>#NAME?</v>
      </c>
    </row>
    <row r="70" spans="1:44" ht="14.1" customHeight="1">
      <c r="A70" s="513" t="s">
        <v>277</v>
      </c>
      <c r="B70" s="548" t="s">
        <v>278</v>
      </c>
      <c r="C70" s="560"/>
      <c r="D70" s="567"/>
      <c r="E70" s="363" t="s">
        <v>35</v>
      </c>
      <c r="F70" s="215" t="s">
        <v>35</v>
      </c>
      <c r="G70" s="215" t="s">
        <v>35</v>
      </c>
      <c r="H70" s="215" t="s">
        <v>35</v>
      </c>
      <c r="I70" s="215" t="s">
        <v>35</v>
      </c>
      <c r="J70" s="133"/>
      <c r="K70" s="133"/>
      <c r="L70" s="215"/>
      <c r="M70" s="215"/>
      <c r="N70" s="158"/>
      <c r="O70" s="409"/>
      <c r="P70" s="421"/>
      <c r="Q70" s="356"/>
      <c r="R70" s="102"/>
      <c r="T70" t="s">
        <v>279</v>
      </c>
      <c r="V70" s="253" t="s">
        <v>38</v>
      </c>
      <c r="W70" s="253" t="s">
        <v>35</v>
      </c>
      <c r="X70" s="253" t="s">
        <v>39</v>
      </c>
      <c r="Y70" s="275" t="s">
        <v>34</v>
      </c>
      <c r="Z70" s="275" t="s">
        <v>36</v>
      </c>
      <c r="AA70" s="275" t="s">
        <v>40</v>
      </c>
      <c r="AB70" s="275" t="s">
        <v>41</v>
      </c>
      <c r="AC70" s="264"/>
      <c r="AD70" s="253" t="s">
        <v>38</v>
      </c>
      <c r="AE70" s="253" t="s">
        <v>35</v>
      </c>
      <c r="AF70" s="253" t="s">
        <v>39</v>
      </c>
      <c r="AG70" s="275" t="s">
        <v>34</v>
      </c>
      <c r="AH70" s="275" t="s">
        <v>36</v>
      </c>
      <c r="AI70" s="275" t="s">
        <v>40</v>
      </c>
      <c r="AJ70" s="275" t="s">
        <v>41</v>
      </c>
      <c r="AK70" s="264"/>
      <c r="AL70" s="253" t="s">
        <v>38</v>
      </c>
      <c r="AM70" s="276" t="s">
        <v>35</v>
      </c>
      <c r="AN70" s="276" t="s">
        <v>39</v>
      </c>
      <c r="AO70" s="275" t="s">
        <v>34</v>
      </c>
      <c r="AP70" s="275" t="s">
        <v>36</v>
      </c>
      <c r="AQ70" s="275" t="s">
        <v>40</v>
      </c>
      <c r="AR70" s="275" t="s">
        <v>41</v>
      </c>
    </row>
    <row r="71" spans="1:44" ht="30" customHeight="1">
      <c r="A71" s="513"/>
      <c r="B71" s="548"/>
      <c r="C71" s="560"/>
      <c r="D71" s="567"/>
      <c r="E71" s="45" t="s">
        <v>734</v>
      </c>
      <c r="F71" s="43" t="s">
        <v>281</v>
      </c>
      <c r="G71" s="456" t="s">
        <v>282</v>
      </c>
      <c r="H71" s="40" t="s">
        <v>283</v>
      </c>
      <c r="I71" s="38" t="s">
        <v>284</v>
      </c>
      <c r="J71" s="217" t="s">
        <v>48</v>
      </c>
      <c r="K71" s="217" t="s">
        <v>48</v>
      </c>
      <c r="L71" s="217" t="s">
        <v>48</v>
      </c>
      <c r="M71" s="217" t="s">
        <v>48</v>
      </c>
      <c r="N71" s="242" t="s">
        <v>48</v>
      </c>
      <c r="O71" s="412"/>
      <c r="P71" s="419" t="s">
        <v>200</v>
      </c>
      <c r="Q71" s="395" t="s">
        <v>864</v>
      </c>
      <c r="R71" s="102"/>
      <c r="V71" s="274"/>
      <c r="W71" s="256">
        <f t="shared" ref="W71:AB71" si="58">COUNTIF($E70:$N70,W70)</f>
        <v>5</v>
      </c>
      <c r="X71" s="256">
        <f t="shared" si="58"/>
        <v>0</v>
      </c>
      <c r="Y71" s="256">
        <f t="shared" si="58"/>
        <v>0</v>
      </c>
      <c r="Z71" s="256">
        <f t="shared" si="58"/>
        <v>0</v>
      </c>
      <c r="AA71" s="256">
        <f t="shared" si="58"/>
        <v>0</v>
      </c>
      <c r="AB71" s="256">
        <f t="shared" si="58"/>
        <v>0</v>
      </c>
      <c r="AC71" s="264"/>
      <c r="AD71" s="274"/>
      <c r="AE71" s="256" t="e">
        <f ca="1">colorcount($E71:$N71,$S$3)+colorcount($E71:$N71,$S$4)+colorcount($E71:$N71,$S$5)+colorcount($E71:$N71,$S$6)+colorcount($E71:$N71,$S$7)+colorcount($E71:$N71,$S$9)+colorcount($E71:$N71,$S$10)+colorcount($E71:$N71,$S$11)+colorcount($E71:$N71,$S$12)</f>
        <v>#NAME?</v>
      </c>
      <c r="AF71" s="256" t="e">
        <f ca="1">colorcount($E71:$N71,$S$15)</f>
        <v>#NAME?</v>
      </c>
      <c r="AG71" s="256" t="e">
        <f ca="1">colorcount($E71:$N71,$S$17)+colorcount($E71:$N71,$S$18)+colorcount($E71:$N71,$S$19)+colorcount($E71:$N71,$S$20)+colorcount($E71:$N71,$S$21)</f>
        <v>#NAME?</v>
      </c>
      <c r="AH71" s="256" t="e">
        <f ca="1">colorcount($E71:$N71,$S$23)</f>
        <v>#NAME?</v>
      </c>
      <c r="AI71" s="256" t="e">
        <f ca="1">colorcount($E71:$N71,$S$26)</f>
        <v>#NAME?</v>
      </c>
      <c r="AJ71" s="256" t="e">
        <f ca="1">colorcount($E71:$N71,$S$28)</f>
        <v>#NAME?</v>
      </c>
      <c r="AK71" s="264"/>
      <c r="AL71" s="274"/>
      <c r="AM71" s="277" t="e">
        <f t="shared" ref="AM71:AR71" ca="1" si="59">IF(W71=AE71,"O","X")</f>
        <v>#NAME?</v>
      </c>
      <c r="AN71" s="277" t="e">
        <f t="shared" ca="1" si="59"/>
        <v>#NAME?</v>
      </c>
      <c r="AO71" s="277" t="e">
        <f t="shared" ca="1" si="59"/>
        <v>#NAME?</v>
      </c>
      <c r="AP71" s="277" t="e">
        <f t="shared" ca="1" si="59"/>
        <v>#NAME?</v>
      </c>
      <c r="AQ71" s="277" t="e">
        <f t="shared" ca="1" si="59"/>
        <v>#NAME?</v>
      </c>
      <c r="AR71" s="277" t="e">
        <f t="shared" ca="1" si="59"/>
        <v>#NAME?</v>
      </c>
    </row>
    <row r="72" spans="1:44" ht="14.1" customHeight="1">
      <c r="A72" s="513" t="s">
        <v>288</v>
      </c>
      <c r="B72" s="547" t="s">
        <v>289</v>
      </c>
      <c r="C72" s="560"/>
      <c r="D72" s="567"/>
      <c r="E72" s="363" t="s">
        <v>35</v>
      </c>
      <c r="F72" s="215" t="s">
        <v>35</v>
      </c>
      <c r="G72" s="215" t="s">
        <v>35</v>
      </c>
      <c r="H72" s="215" t="s">
        <v>35</v>
      </c>
      <c r="I72" s="240" t="s">
        <v>35</v>
      </c>
      <c r="J72" s="215" t="s">
        <v>35</v>
      </c>
      <c r="K72" s="215" t="s">
        <v>35</v>
      </c>
      <c r="L72" s="215" t="s">
        <v>35</v>
      </c>
      <c r="M72" s="215" t="s">
        <v>35</v>
      </c>
      <c r="N72" s="241" t="s">
        <v>35</v>
      </c>
      <c r="O72" s="352"/>
      <c r="P72" s="353"/>
      <c r="Q72" s="158"/>
      <c r="R72" s="102"/>
      <c r="V72" s="253" t="s">
        <v>38</v>
      </c>
      <c r="W72" s="253" t="s">
        <v>35</v>
      </c>
      <c r="X72" s="253" t="s">
        <v>39</v>
      </c>
      <c r="Y72" s="275" t="s">
        <v>34</v>
      </c>
      <c r="Z72" s="275" t="s">
        <v>36</v>
      </c>
      <c r="AA72" s="275" t="s">
        <v>40</v>
      </c>
      <c r="AB72" s="275" t="s">
        <v>41</v>
      </c>
      <c r="AC72" s="264"/>
      <c r="AD72" s="253" t="s">
        <v>38</v>
      </c>
      <c r="AE72" s="253" t="s">
        <v>35</v>
      </c>
      <c r="AF72" s="253" t="s">
        <v>39</v>
      </c>
      <c r="AG72" s="275" t="s">
        <v>34</v>
      </c>
      <c r="AH72" s="275" t="s">
        <v>36</v>
      </c>
      <c r="AI72" s="275" t="s">
        <v>40</v>
      </c>
      <c r="AJ72" s="275" t="s">
        <v>41</v>
      </c>
      <c r="AK72" s="264"/>
      <c r="AL72" s="253" t="s">
        <v>38</v>
      </c>
      <c r="AM72" s="276" t="s">
        <v>35</v>
      </c>
      <c r="AN72" s="276" t="s">
        <v>39</v>
      </c>
      <c r="AO72" s="275" t="s">
        <v>34</v>
      </c>
      <c r="AP72" s="275" t="s">
        <v>36</v>
      </c>
      <c r="AQ72" s="275" t="s">
        <v>40</v>
      </c>
      <c r="AR72" s="275" t="s">
        <v>41</v>
      </c>
    </row>
    <row r="73" spans="1:44" ht="30" customHeight="1">
      <c r="A73" s="513"/>
      <c r="B73" s="547"/>
      <c r="C73" s="560"/>
      <c r="D73" s="567"/>
      <c r="E73" s="37" t="s">
        <v>290</v>
      </c>
      <c r="F73" s="46" t="s">
        <v>1628</v>
      </c>
      <c r="G73" s="44" t="s">
        <v>159</v>
      </c>
      <c r="H73" s="456" t="s">
        <v>292</v>
      </c>
      <c r="I73" s="38" t="s">
        <v>293</v>
      </c>
      <c r="J73" s="38" t="s">
        <v>294</v>
      </c>
      <c r="K73" s="38" t="s">
        <v>295</v>
      </c>
      <c r="L73" s="38" t="s">
        <v>296</v>
      </c>
      <c r="M73" s="38" t="s">
        <v>297</v>
      </c>
      <c r="N73" s="82" t="s">
        <v>1634</v>
      </c>
      <c r="O73" s="408"/>
      <c r="P73" s="419" t="s">
        <v>742</v>
      </c>
      <c r="Q73" s="395" t="s">
        <v>864</v>
      </c>
      <c r="R73" s="102"/>
      <c r="V73" s="274" t="s">
        <v>289</v>
      </c>
      <c r="W73" s="256">
        <f t="shared" ref="W73:AB73" si="60">COUNTIF($E72:$N72,W72)</f>
        <v>10</v>
      </c>
      <c r="X73" s="256">
        <f t="shared" si="60"/>
        <v>0</v>
      </c>
      <c r="Y73" s="256">
        <f t="shared" si="60"/>
        <v>0</v>
      </c>
      <c r="Z73" s="256">
        <f t="shared" si="60"/>
        <v>0</v>
      </c>
      <c r="AA73" s="256">
        <f t="shared" si="60"/>
        <v>0</v>
      </c>
      <c r="AB73" s="256">
        <f t="shared" si="60"/>
        <v>0</v>
      </c>
      <c r="AC73" s="264"/>
      <c r="AD73" s="274" t="s">
        <v>289</v>
      </c>
      <c r="AE73" s="256" t="e">
        <f ca="1">colorcount($E73:$N73,$S$3)+colorcount($E73:$N73,$S$4)+colorcount($E73:$N73,$S$5)+colorcount($E73:$N73,$S$6)+colorcount($E73:$N73,$S$7)+colorcount($E73:$N73,$S$9)+colorcount($E73:$N73,$S$10)+colorcount($E73:$N73,$S$11)+colorcount($E73:$N73,$S$12)</f>
        <v>#NAME?</v>
      </c>
      <c r="AF73" s="256" t="e">
        <f ca="1">colorcount($E73:$N73,$S$15)</f>
        <v>#NAME?</v>
      </c>
      <c r="AG73" s="256" t="e">
        <f ca="1">colorcount($E73:$N73,$S$17)+colorcount($E73:$N73,$S$18)+colorcount($E73:$N73,$S$19)+colorcount($E73:$N73,$S$20)+colorcount($E73:$N73,$S$21)</f>
        <v>#NAME?</v>
      </c>
      <c r="AH73" s="256" t="e">
        <f ca="1">colorcount($E73:$N73,$S$23)</f>
        <v>#NAME?</v>
      </c>
      <c r="AI73" s="256" t="e">
        <f ca="1">colorcount($E73:$N73,$S$26)</f>
        <v>#NAME?</v>
      </c>
      <c r="AJ73" s="256" t="e">
        <f ca="1">colorcount($E73:$N73,$S$28)</f>
        <v>#NAME?</v>
      </c>
      <c r="AK73" s="264"/>
      <c r="AL73" s="274" t="s">
        <v>289</v>
      </c>
      <c r="AM73" s="277" t="e">
        <f t="shared" ref="AM73:AR73" ca="1" si="61">IF(W73=AE73,"O","X")</f>
        <v>#NAME?</v>
      </c>
      <c r="AN73" s="277" t="e">
        <f t="shared" ca="1" si="61"/>
        <v>#NAME?</v>
      </c>
      <c r="AO73" s="277" t="e">
        <f t="shared" ca="1" si="61"/>
        <v>#NAME?</v>
      </c>
      <c r="AP73" s="277" t="e">
        <f t="shared" ca="1" si="61"/>
        <v>#NAME?</v>
      </c>
      <c r="AQ73" s="277" t="e">
        <f t="shared" ca="1" si="61"/>
        <v>#NAME?</v>
      </c>
      <c r="AR73" s="277" t="e">
        <f t="shared" ca="1" si="61"/>
        <v>#NAME?</v>
      </c>
    </row>
    <row r="74" spans="1:44" ht="14.1" customHeight="1">
      <c r="A74" s="513" t="s">
        <v>298</v>
      </c>
      <c r="B74" s="547" t="s">
        <v>299</v>
      </c>
      <c r="C74" s="560"/>
      <c r="D74" s="567"/>
      <c r="E74" s="363" t="s">
        <v>35</v>
      </c>
      <c r="F74" s="215" t="s">
        <v>35</v>
      </c>
      <c r="G74" s="215" t="s">
        <v>35</v>
      </c>
      <c r="H74" s="215" t="s">
        <v>35</v>
      </c>
      <c r="I74" s="215" t="s">
        <v>35</v>
      </c>
      <c r="J74" s="215" t="s">
        <v>35</v>
      </c>
      <c r="K74" s="215" t="s">
        <v>35</v>
      </c>
      <c r="L74" s="215" t="s">
        <v>35</v>
      </c>
      <c r="M74" s="215" t="s">
        <v>35</v>
      </c>
      <c r="N74" s="241" t="s">
        <v>35</v>
      </c>
      <c r="O74" s="352"/>
      <c r="P74" s="353"/>
      <c r="Q74" s="356"/>
      <c r="R74" s="102"/>
      <c r="V74" s="253" t="s">
        <v>38</v>
      </c>
      <c r="W74" s="253" t="s">
        <v>35</v>
      </c>
      <c r="X74" s="253" t="s">
        <v>39</v>
      </c>
      <c r="Y74" s="275" t="s">
        <v>34</v>
      </c>
      <c r="Z74" s="275" t="s">
        <v>36</v>
      </c>
      <c r="AA74" s="275" t="s">
        <v>40</v>
      </c>
      <c r="AB74" s="275" t="s">
        <v>41</v>
      </c>
      <c r="AC74" s="264"/>
      <c r="AD74" s="253" t="s">
        <v>38</v>
      </c>
      <c r="AE74" s="253" t="s">
        <v>35</v>
      </c>
      <c r="AF74" s="253" t="s">
        <v>39</v>
      </c>
      <c r="AG74" s="275" t="s">
        <v>34</v>
      </c>
      <c r="AH74" s="275" t="s">
        <v>36</v>
      </c>
      <c r="AI74" s="275" t="s">
        <v>40</v>
      </c>
      <c r="AJ74" s="275" t="s">
        <v>41</v>
      </c>
      <c r="AK74" s="264"/>
      <c r="AL74" s="253" t="s">
        <v>38</v>
      </c>
      <c r="AM74" s="276" t="s">
        <v>35</v>
      </c>
      <c r="AN74" s="276" t="s">
        <v>39</v>
      </c>
      <c r="AO74" s="275" t="s">
        <v>34</v>
      </c>
      <c r="AP74" s="275" t="s">
        <v>36</v>
      </c>
      <c r="AQ74" s="275" t="s">
        <v>40</v>
      </c>
      <c r="AR74" s="275" t="s">
        <v>41</v>
      </c>
    </row>
    <row r="75" spans="1:44" ht="30" customHeight="1">
      <c r="A75" s="513"/>
      <c r="B75" s="547"/>
      <c r="C75" s="560"/>
      <c r="D75" s="567"/>
      <c r="E75" s="68" t="s">
        <v>300</v>
      </c>
      <c r="F75" s="66" t="s">
        <v>301</v>
      </c>
      <c r="G75" s="44" t="s">
        <v>302</v>
      </c>
      <c r="H75" s="46" t="s">
        <v>1645</v>
      </c>
      <c r="I75" s="46" t="s">
        <v>1628</v>
      </c>
      <c r="J75" s="46" t="s">
        <v>1640</v>
      </c>
      <c r="K75" s="44" t="s">
        <v>303</v>
      </c>
      <c r="L75" s="44" t="s">
        <v>304</v>
      </c>
      <c r="M75" s="456" t="s">
        <v>305</v>
      </c>
      <c r="N75" s="80" t="s">
        <v>306</v>
      </c>
      <c r="O75" s="408"/>
      <c r="P75" s="419" t="s">
        <v>179</v>
      </c>
      <c r="Q75" s="395" t="s">
        <v>864</v>
      </c>
      <c r="R75" s="102"/>
      <c r="V75" s="274" t="s">
        <v>299</v>
      </c>
      <c r="W75" s="256">
        <f t="shared" ref="W75:AB75" si="62">COUNTIF($E74:$N74,W74)</f>
        <v>10</v>
      </c>
      <c r="X75" s="256">
        <f t="shared" si="62"/>
        <v>0</v>
      </c>
      <c r="Y75" s="256">
        <f t="shared" si="62"/>
        <v>0</v>
      </c>
      <c r="Z75" s="256">
        <f t="shared" si="62"/>
        <v>0</v>
      </c>
      <c r="AA75" s="256">
        <f t="shared" si="62"/>
        <v>0</v>
      </c>
      <c r="AB75" s="256">
        <f t="shared" si="62"/>
        <v>0</v>
      </c>
      <c r="AC75" s="264"/>
      <c r="AD75" s="274" t="s">
        <v>299</v>
      </c>
      <c r="AE75" s="256" t="e">
        <f ca="1">colorcount($E75:$N75,$S$3)+colorcount($E75:$N75,$S$4)+colorcount($E75:$N75,$S$5)+colorcount($E75:$N75,$S$6)+colorcount($E75:$N75,$S$7)+colorcount($E75:$N75,$S$9)+colorcount($E75:$N75,$S$10)+colorcount($E75:$N75,$S$11)+colorcount($E75:$N75,$S$12)</f>
        <v>#NAME?</v>
      </c>
      <c r="AF75" s="256" t="e">
        <f ca="1">colorcount($E75:$N75,$S$15)</f>
        <v>#NAME?</v>
      </c>
      <c r="AG75" s="256" t="e">
        <f ca="1">colorcount($E75:$N75,$S$17)+colorcount($E75:$N75,$S$18)+colorcount($E75:$N75,$S$19)+colorcount($E75:$N75,$S$20)+colorcount($E75:$N75,$S$21)</f>
        <v>#NAME?</v>
      </c>
      <c r="AH75" s="256" t="e">
        <f ca="1">colorcount($E75:$N75,$S$23)</f>
        <v>#NAME?</v>
      </c>
      <c r="AI75" s="256" t="e">
        <f ca="1">colorcount($E75:$N75,$S$26)</f>
        <v>#NAME?</v>
      </c>
      <c r="AJ75" s="256" t="e">
        <f ca="1">colorcount($E75:$N75,$S$28)</f>
        <v>#NAME?</v>
      </c>
      <c r="AK75" s="264"/>
      <c r="AL75" s="274" t="s">
        <v>299</v>
      </c>
      <c r="AM75" s="277" t="e">
        <f t="shared" ref="AM75:AR75" ca="1" si="63">IF(W75=AE75,"O","X")</f>
        <v>#NAME?</v>
      </c>
      <c r="AN75" s="277" t="e">
        <f t="shared" ca="1" si="63"/>
        <v>#NAME?</v>
      </c>
      <c r="AO75" s="277" t="e">
        <f t="shared" ca="1" si="63"/>
        <v>#NAME?</v>
      </c>
      <c r="AP75" s="277" t="e">
        <f t="shared" ca="1" si="63"/>
        <v>#NAME?</v>
      </c>
      <c r="AQ75" s="277" t="e">
        <f t="shared" ca="1" si="63"/>
        <v>#NAME?</v>
      </c>
      <c r="AR75" s="277" t="e">
        <f t="shared" ca="1" si="63"/>
        <v>#NAME?</v>
      </c>
    </row>
    <row r="76" spans="1:44" ht="14.1" customHeight="1">
      <c r="A76" s="513" t="s">
        <v>308</v>
      </c>
      <c r="B76" s="547" t="s">
        <v>309</v>
      </c>
      <c r="C76" s="560"/>
      <c r="D76" s="567"/>
      <c r="E76" s="363" t="s">
        <v>35</v>
      </c>
      <c r="F76" s="215" t="s">
        <v>35</v>
      </c>
      <c r="G76" s="215" t="s">
        <v>35</v>
      </c>
      <c r="H76" s="215" t="s">
        <v>35</v>
      </c>
      <c r="I76" s="215" t="s">
        <v>35</v>
      </c>
      <c r="J76" s="215" t="s">
        <v>35</v>
      </c>
      <c r="K76" s="215" t="s">
        <v>35</v>
      </c>
      <c r="L76" s="215" t="s">
        <v>35</v>
      </c>
      <c r="M76" s="215" t="s">
        <v>35</v>
      </c>
      <c r="N76" s="241" t="s">
        <v>35</v>
      </c>
      <c r="O76" s="409"/>
      <c r="P76" s="421"/>
      <c r="Q76" s="426"/>
      <c r="R76" s="102"/>
      <c r="V76" s="253" t="s">
        <v>38</v>
      </c>
      <c r="W76" s="253" t="s">
        <v>35</v>
      </c>
      <c r="X76" s="253" t="s">
        <v>39</v>
      </c>
      <c r="Y76" s="275" t="s">
        <v>34</v>
      </c>
      <c r="Z76" s="275" t="s">
        <v>36</v>
      </c>
      <c r="AA76" s="275" t="s">
        <v>40</v>
      </c>
      <c r="AB76" s="275" t="s">
        <v>41</v>
      </c>
      <c r="AC76" s="264"/>
      <c r="AD76" s="253" t="s">
        <v>38</v>
      </c>
      <c r="AE76" s="253" t="s">
        <v>35</v>
      </c>
      <c r="AF76" s="253" t="s">
        <v>39</v>
      </c>
      <c r="AG76" s="275" t="s">
        <v>34</v>
      </c>
      <c r="AH76" s="275" t="s">
        <v>36</v>
      </c>
      <c r="AI76" s="275" t="s">
        <v>40</v>
      </c>
      <c r="AJ76" s="275" t="s">
        <v>41</v>
      </c>
      <c r="AK76" s="264"/>
      <c r="AL76" s="253" t="s">
        <v>38</v>
      </c>
      <c r="AM76" s="276" t="s">
        <v>35</v>
      </c>
      <c r="AN76" s="276" t="s">
        <v>39</v>
      </c>
      <c r="AO76" s="275" t="s">
        <v>34</v>
      </c>
      <c r="AP76" s="275" t="s">
        <v>36</v>
      </c>
      <c r="AQ76" s="275" t="s">
        <v>40</v>
      </c>
      <c r="AR76" s="275" t="s">
        <v>41</v>
      </c>
    </row>
    <row r="77" spans="1:44" ht="30" customHeight="1">
      <c r="A77" s="513"/>
      <c r="B77" s="547"/>
      <c r="C77" s="560"/>
      <c r="D77" s="567"/>
      <c r="E77" s="37" t="s">
        <v>310</v>
      </c>
      <c r="F77" s="38" t="s">
        <v>311</v>
      </c>
      <c r="G77" s="38" t="s">
        <v>312</v>
      </c>
      <c r="H77" s="38" t="s">
        <v>313</v>
      </c>
      <c r="I77" s="456" t="s">
        <v>314</v>
      </c>
      <c r="J77" s="40" t="s">
        <v>1502</v>
      </c>
      <c r="K77" s="456" t="s">
        <v>315</v>
      </c>
      <c r="L77" s="38" t="s">
        <v>316</v>
      </c>
      <c r="M77" s="38" t="s">
        <v>317</v>
      </c>
      <c r="N77" s="77" t="s">
        <v>318</v>
      </c>
      <c r="O77" s="412"/>
      <c r="P77" s="427" t="s">
        <v>163</v>
      </c>
      <c r="Q77" s="395" t="s">
        <v>864</v>
      </c>
      <c r="R77" s="102"/>
      <c r="V77" s="274" t="s">
        <v>319</v>
      </c>
      <c r="W77" s="256">
        <f t="shared" ref="W77:AB77" si="64">COUNTIF($E76:$N76,W76)</f>
        <v>10</v>
      </c>
      <c r="X77" s="256">
        <f t="shared" si="64"/>
        <v>0</v>
      </c>
      <c r="Y77" s="256">
        <f t="shared" si="64"/>
        <v>0</v>
      </c>
      <c r="Z77" s="256">
        <f t="shared" si="64"/>
        <v>0</v>
      </c>
      <c r="AA77" s="256">
        <f t="shared" si="64"/>
        <v>0</v>
      </c>
      <c r="AB77" s="256">
        <f t="shared" si="64"/>
        <v>0</v>
      </c>
      <c r="AC77" s="264"/>
      <c r="AD77" s="274" t="s">
        <v>319</v>
      </c>
      <c r="AE77" s="256" t="e">
        <f ca="1">colorcount($E77:$N77,$S$3)+colorcount($E77:$N77,$S$4)+colorcount($E77:$N77,$S$5)+colorcount($E77:$N77,$S$6)+colorcount($E77:$N77,$S$7)+colorcount($E77:$N77,$S$9)+colorcount($E77:$N77,$S$10)+colorcount($E77:$N77,$S$11)+colorcount($E77:$N77,$S$12)</f>
        <v>#NAME?</v>
      </c>
      <c r="AF77" s="256" t="e">
        <f ca="1">colorcount($E77:$N77,$S$15)</f>
        <v>#NAME?</v>
      </c>
      <c r="AG77" s="256" t="e">
        <f ca="1">colorcount($E77:$N77,$S$17)+colorcount($E77:$N77,$S$18)+colorcount($E77:$N77,$S$19)+colorcount($E77:$N77,$S$20)+colorcount($E77:$N77,$S$21)</f>
        <v>#NAME?</v>
      </c>
      <c r="AH77" s="256" t="e">
        <f ca="1">colorcount($E77:$N77,$S$23)</f>
        <v>#NAME?</v>
      </c>
      <c r="AI77" s="256" t="e">
        <f ca="1">colorcount($E77:$N77,$S$26)</f>
        <v>#NAME?</v>
      </c>
      <c r="AJ77" s="256" t="e">
        <f ca="1">colorcount($E77:$N77,$S$28)</f>
        <v>#NAME?</v>
      </c>
      <c r="AK77" s="264"/>
      <c r="AL77" s="274" t="s">
        <v>319</v>
      </c>
      <c r="AM77" s="277" t="e">
        <f t="shared" ref="AM77:AR77" ca="1" si="65">IF(W77=AE77,"O","X")</f>
        <v>#NAME?</v>
      </c>
      <c r="AN77" s="277" t="e">
        <f t="shared" ca="1" si="65"/>
        <v>#NAME?</v>
      </c>
      <c r="AO77" s="277" t="e">
        <f t="shared" ca="1" si="65"/>
        <v>#NAME?</v>
      </c>
      <c r="AP77" s="277" t="e">
        <f t="shared" ca="1" si="65"/>
        <v>#NAME?</v>
      </c>
      <c r="AQ77" s="277" t="e">
        <f t="shared" ca="1" si="65"/>
        <v>#NAME?</v>
      </c>
      <c r="AR77" s="277" t="e">
        <f t="shared" ca="1" si="65"/>
        <v>#NAME?</v>
      </c>
    </row>
    <row r="78" spans="1:44" ht="14.1" customHeight="1">
      <c r="A78" s="513" t="s">
        <v>320</v>
      </c>
      <c r="B78" s="547" t="s">
        <v>321</v>
      </c>
      <c r="C78" s="560"/>
      <c r="D78" s="567"/>
      <c r="E78" s="363" t="s">
        <v>35</v>
      </c>
      <c r="F78" s="215" t="s">
        <v>35</v>
      </c>
      <c r="G78" s="215" t="s">
        <v>35</v>
      </c>
      <c r="H78" s="215" t="s">
        <v>35</v>
      </c>
      <c r="I78" s="215" t="s">
        <v>35</v>
      </c>
      <c r="J78" s="215" t="s">
        <v>35</v>
      </c>
      <c r="K78" s="215" t="s">
        <v>35</v>
      </c>
      <c r="L78" s="240" t="s">
        <v>35</v>
      </c>
      <c r="M78" s="215" t="s">
        <v>35</v>
      </c>
      <c r="N78" s="241" t="s">
        <v>35</v>
      </c>
      <c r="O78" s="409"/>
      <c r="P78" s="421"/>
      <c r="Q78" s="356"/>
      <c r="R78" s="102"/>
      <c r="V78" s="253" t="s">
        <v>38</v>
      </c>
      <c r="W78" s="253" t="s">
        <v>35</v>
      </c>
      <c r="X78" s="253" t="s">
        <v>39</v>
      </c>
      <c r="Y78" s="275" t="s">
        <v>34</v>
      </c>
      <c r="Z78" s="275" t="s">
        <v>36</v>
      </c>
      <c r="AA78" s="275" t="s">
        <v>40</v>
      </c>
      <c r="AB78" s="275" t="s">
        <v>41</v>
      </c>
      <c r="AC78" s="264"/>
      <c r="AD78" s="253" t="s">
        <v>38</v>
      </c>
      <c r="AE78" s="253" t="s">
        <v>35</v>
      </c>
      <c r="AF78" s="253" t="s">
        <v>39</v>
      </c>
      <c r="AG78" s="275" t="s">
        <v>34</v>
      </c>
      <c r="AH78" s="275" t="s">
        <v>36</v>
      </c>
      <c r="AI78" s="275" t="s">
        <v>40</v>
      </c>
      <c r="AJ78" s="275" t="s">
        <v>41</v>
      </c>
      <c r="AK78" s="264"/>
      <c r="AL78" s="253" t="s">
        <v>38</v>
      </c>
      <c r="AM78" s="276" t="s">
        <v>35</v>
      </c>
      <c r="AN78" s="276" t="s">
        <v>39</v>
      </c>
      <c r="AO78" s="275" t="s">
        <v>34</v>
      </c>
      <c r="AP78" s="275" t="s">
        <v>36</v>
      </c>
      <c r="AQ78" s="275" t="s">
        <v>40</v>
      </c>
      <c r="AR78" s="275" t="s">
        <v>41</v>
      </c>
    </row>
    <row r="79" spans="1:44" ht="30" customHeight="1">
      <c r="A79" s="513"/>
      <c r="B79" s="547"/>
      <c r="C79" s="560"/>
      <c r="D79" s="567"/>
      <c r="E79" s="45" t="s">
        <v>322</v>
      </c>
      <c r="F79" s="38" t="s">
        <v>323</v>
      </c>
      <c r="G79" s="46" t="s">
        <v>1628</v>
      </c>
      <c r="H79" s="50" t="s">
        <v>1533</v>
      </c>
      <c r="I79" s="87" t="s">
        <v>1654</v>
      </c>
      <c r="J79" s="44" t="s">
        <v>642</v>
      </c>
      <c r="K79" s="40" t="s">
        <v>1744</v>
      </c>
      <c r="L79" s="38" t="s">
        <v>324</v>
      </c>
      <c r="M79" s="38" t="s">
        <v>325</v>
      </c>
      <c r="N79" s="77" t="s">
        <v>326</v>
      </c>
      <c r="O79" s="412"/>
      <c r="P79" s="430" t="s">
        <v>823</v>
      </c>
      <c r="Q79" s="395" t="s">
        <v>864</v>
      </c>
      <c r="R79" s="102"/>
      <c r="S79" t="s">
        <v>279</v>
      </c>
      <c r="V79" s="274" t="s">
        <v>321</v>
      </c>
      <c r="W79" s="256">
        <f t="shared" ref="W79:AB79" si="66">COUNTIF($E78:$N78,W78)</f>
        <v>10</v>
      </c>
      <c r="X79" s="256">
        <f t="shared" si="66"/>
        <v>0</v>
      </c>
      <c r="Y79" s="256">
        <f t="shared" si="66"/>
        <v>0</v>
      </c>
      <c r="Z79" s="256">
        <f t="shared" si="66"/>
        <v>0</v>
      </c>
      <c r="AA79" s="256">
        <f t="shared" si="66"/>
        <v>0</v>
      </c>
      <c r="AB79" s="256">
        <f t="shared" si="66"/>
        <v>0</v>
      </c>
      <c r="AC79" s="264"/>
      <c r="AD79" s="274" t="s">
        <v>321</v>
      </c>
      <c r="AE79" s="256" t="e">
        <f ca="1">colorcount($E79:$N79,$S$3)+colorcount($E79:$N79,$S$4)+colorcount($E79:$N79,$S$5)+colorcount($E79:$N79,$S$6)+colorcount($E79:$N79,$S$7)+colorcount($E79:$N79,$S$9)+colorcount($E79:$N79,$S$10)+colorcount($E79:$N79,$S$11)+colorcount($E79:$N79,$S$12)</f>
        <v>#NAME?</v>
      </c>
      <c r="AF79" s="256" t="e">
        <f ca="1">colorcount($E79:$N79,$S$15)</f>
        <v>#NAME?</v>
      </c>
      <c r="AG79" s="256" t="e">
        <f ca="1">colorcount($E79:$N79,$S$17)+colorcount($E79:$N79,$S$18)+colorcount($E79:$N79,$S$19)+colorcount($E79:$N79,$S$20)+colorcount($E79:$N79,$S$21)</f>
        <v>#NAME?</v>
      </c>
      <c r="AH79" s="256" t="e">
        <f ca="1">colorcount($E79:$N79,$S$23)</f>
        <v>#NAME?</v>
      </c>
      <c r="AI79" s="256" t="e">
        <f ca="1">colorcount($E79:$N79,$S$26)</f>
        <v>#NAME?</v>
      </c>
      <c r="AJ79" s="256" t="e">
        <f ca="1">colorcount($E79:$N79,$S$28)</f>
        <v>#NAME?</v>
      </c>
      <c r="AK79" s="264"/>
      <c r="AL79" s="274" t="s">
        <v>321</v>
      </c>
      <c r="AM79" s="277" t="e">
        <f t="shared" ref="AM79:AR79" ca="1" si="67">IF(W79=AE79,"O","X")</f>
        <v>#NAME?</v>
      </c>
      <c r="AN79" s="277" t="e">
        <f t="shared" ca="1" si="67"/>
        <v>#NAME?</v>
      </c>
      <c r="AO79" s="277" t="e">
        <f t="shared" ca="1" si="67"/>
        <v>#NAME?</v>
      </c>
      <c r="AP79" s="277" t="e">
        <f t="shared" ca="1" si="67"/>
        <v>#NAME?</v>
      </c>
      <c r="AQ79" s="277" t="e">
        <f t="shared" ca="1" si="67"/>
        <v>#NAME?</v>
      </c>
      <c r="AR79" s="277" t="e">
        <f t="shared" ca="1" si="67"/>
        <v>#NAME?</v>
      </c>
    </row>
    <row r="80" spans="1:44" ht="14.1" customHeight="1">
      <c r="A80" s="513" t="s">
        <v>327</v>
      </c>
      <c r="B80" s="549" t="s">
        <v>328</v>
      </c>
      <c r="C80" s="560"/>
      <c r="D80" s="567"/>
      <c r="E80" s="363" t="s">
        <v>35</v>
      </c>
      <c r="F80" s="215" t="s">
        <v>35</v>
      </c>
      <c r="G80" s="215" t="s">
        <v>35</v>
      </c>
      <c r="H80" s="215" t="s">
        <v>35</v>
      </c>
      <c r="I80" s="240" t="s">
        <v>35</v>
      </c>
      <c r="J80" s="215" t="s">
        <v>35</v>
      </c>
      <c r="K80" s="215" t="s">
        <v>39</v>
      </c>
      <c r="L80" s="215" t="s">
        <v>35</v>
      </c>
      <c r="M80" s="215" t="s">
        <v>35</v>
      </c>
      <c r="N80" s="241" t="s">
        <v>35</v>
      </c>
      <c r="O80" s="352"/>
      <c r="P80" s="353"/>
      <c r="Q80" s="426"/>
      <c r="R80" s="102"/>
      <c r="V80" s="253" t="s">
        <v>38</v>
      </c>
      <c r="W80" s="253" t="s">
        <v>35</v>
      </c>
      <c r="X80" s="253" t="s">
        <v>39</v>
      </c>
      <c r="Y80" s="275" t="s">
        <v>34</v>
      </c>
      <c r="Z80" s="275" t="s">
        <v>36</v>
      </c>
      <c r="AA80" s="275" t="s">
        <v>40</v>
      </c>
      <c r="AB80" s="275" t="s">
        <v>41</v>
      </c>
      <c r="AC80" s="264"/>
      <c r="AD80" s="253" t="s">
        <v>38</v>
      </c>
      <c r="AE80" s="253" t="s">
        <v>35</v>
      </c>
      <c r="AF80" s="253" t="s">
        <v>39</v>
      </c>
      <c r="AG80" s="275" t="s">
        <v>34</v>
      </c>
      <c r="AH80" s="275" t="s">
        <v>36</v>
      </c>
      <c r="AI80" s="275" t="s">
        <v>40</v>
      </c>
      <c r="AJ80" s="275" t="s">
        <v>41</v>
      </c>
      <c r="AK80" s="264"/>
      <c r="AL80" s="253" t="s">
        <v>38</v>
      </c>
      <c r="AM80" s="276" t="s">
        <v>35</v>
      </c>
      <c r="AN80" s="276" t="s">
        <v>39</v>
      </c>
      <c r="AO80" s="275" t="s">
        <v>34</v>
      </c>
      <c r="AP80" s="275" t="s">
        <v>36</v>
      </c>
      <c r="AQ80" s="275" t="s">
        <v>40</v>
      </c>
      <c r="AR80" s="275" t="s">
        <v>41</v>
      </c>
    </row>
    <row r="81" spans="1:44" ht="30" customHeight="1">
      <c r="A81" s="513"/>
      <c r="B81" s="549"/>
      <c r="C81" s="560"/>
      <c r="D81" s="567"/>
      <c r="E81" s="458" t="s">
        <v>1536</v>
      </c>
      <c r="F81" s="40" t="s">
        <v>1520</v>
      </c>
      <c r="G81" s="44" t="s">
        <v>1519</v>
      </c>
      <c r="H81" s="46" t="s">
        <v>1639</v>
      </c>
      <c r="I81" s="38" t="s">
        <v>329</v>
      </c>
      <c r="J81" s="43" t="s">
        <v>330</v>
      </c>
      <c r="K81" s="221" t="s">
        <v>59</v>
      </c>
      <c r="L81" s="38" t="s">
        <v>1589</v>
      </c>
      <c r="M81" s="38" t="s">
        <v>331</v>
      </c>
      <c r="N81" s="457" t="s">
        <v>332</v>
      </c>
      <c r="O81" s="408"/>
      <c r="P81" s="430" t="s">
        <v>794</v>
      </c>
      <c r="Q81" s="395" t="s">
        <v>864</v>
      </c>
      <c r="R81" s="102"/>
      <c r="V81" s="274" t="s">
        <v>328</v>
      </c>
      <c r="W81" s="256">
        <f t="shared" ref="W81:AB81" si="68">COUNTIF($E80:$N80,W80)</f>
        <v>9</v>
      </c>
      <c r="X81" s="256">
        <f t="shared" si="68"/>
        <v>1</v>
      </c>
      <c r="Y81" s="256">
        <f t="shared" si="68"/>
        <v>0</v>
      </c>
      <c r="Z81" s="256">
        <f t="shared" si="68"/>
        <v>0</v>
      </c>
      <c r="AA81" s="256">
        <f t="shared" si="68"/>
        <v>0</v>
      </c>
      <c r="AB81" s="256">
        <f t="shared" si="68"/>
        <v>0</v>
      </c>
      <c r="AC81" s="264"/>
      <c r="AD81" s="274" t="s">
        <v>328</v>
      </c>
      <c r="AE81" s="256" t="e">
        <f ca="1">colorcount($E81:$N81,$S$3)+colorcount($E81:$N81,$S$4)+colorcount($E81:$N81,$S$5)+colorcount($E81:$N81,$S$6)+colorcount($E81:$N81,$S$7)+colorcount($E81:$N81,$S$9)+colorcount($E81:$N81,$S$10)+colorcount($E81:$N81,$S$11)+colorcount($E81:$N81,$S$12)</f>
        <v>#NAME?</v>
      </c>
      <c r="AF81" s="256" t="e">
        <f ca="1">colorcount($E81:$N81,$S$15)</f>
        <v>#NAME?</v>
      </c>
      <c r="AG81" s="256" t="e">
        <f ca="1">colorcount($E81:$N81,$S$17)+colorcount($E81:$N81,$S$18)+colorcount($E81:$N81,$S$19)+colorcount($E81:$N81,$S$20)+colorcount($E81:$N81,$S$21)</f>
        <v>#NAME?</v>
      </c>
      <c r="AH81" s="256" t="e">
        <f ca="1">colorcount($E81:$N81,$S$23)</f>
        <v>#NAME?</v>
      </c>
      <c r="AI81" s="256" t="e">
        <f ca="1">colorcount($E81:$N81,$S$26)</f>
        <v>#NAME?</v>
      </c>
      <c r="AJ81" s="256" t="e">
        <f ca="1">colorcount($E81:$N81,$S$28)</f>
        <v>#NAME?</v>
      </c>
      <c r="AK81" s="264"/>
      <c r="AL81" s="274" t="s">
        <v>328</v>
      </c>
      <c r="AM81" s="277" t="e">
        <f t="shared" ref="AM81:AR81" ca="1" si="69">IF(W81=AE81,"O","X")</f>
        <v>#NAME?</v>
      </c>
      <c r="AN81" s="277" t="e">
        <f t="shared" ca="1" si="69"/>
        <v>#NAME?</v>
      </c>
      <c r="AO81" s="277" t="e">
        <f t="shared" ca="1" si="69"/>
        <v>#NAME?</v>
      </c>
      <c r="AP81" s="277" t="e">
        <f t="shared" ca="1" si="69"/>
        <v>#NAME?</v>
      </c>
      <c r="AQ81" s="277" t="e">
        <f t="shared" ca="1" si="69"/>
        <v>#NAME?</v>
      </c>
      <c r="AR81" s="277" t="e">
        <f t="shared" ca="1" si="69"/>
        <v>#NAME?</v>
      </c>
    </row>
    <row r="82" spans="1:44" ht="14.1" customHeight="1">
      <c r="A82" s="513" t="s">
        <v>334</v>
      </c>
      <c r="B82" s="547" t="s">
        <v>335</v>
      </c>
      <c r="C82" s="560"/>
      <c r="D82" s="567"/>
      <c r="E82" s="363" t="s">
        <v>35</v>
      </c>
      <c r="F82" s="215" t="s">
        <v>35</v>
      </c>
      <c r="G82" s="215" t="s">
        <v>35</v>
      </c>
      <c r="H82" s="215" t="s">
        <v>35</v>
      </c>
      <c r="I82" s="215" t="s">
        <v>35</v>
      </c>
      <c r="J82" s="215" t="s">
        <v>35</v>
      </c>
      <c r="K82" s="215" t="s">
        <v>35</v>
      </c>
      <c r="L82" s="215" t="s">
        <v>35</v>
      </c>
      <c r="M82" s="215" t="s">
        <v>35</v>
      </c>
      <c r="N82" s="279" t="s">
        <v>35</v>
      </c>
      <c r="O82" s="352"/>
      <c r="P82" s="353"/>
      <c r="Q82" s="356"/>
      <c r="R82" s="102"/>
      <c r="V82" s="253" t="s">
        <v>38</v>
      </c>
      <c r="W82" s="253" t="s">
        <v>35</v>
      </c>
      <c r="X82" s="253" t="s">
        <v>39</v>
      </c>
      <c r="Y82" s="275" t="s">
        <v>34</v>
      </c>
      <c r="Z82" s="275" t="s">
        <v>36</v>
      </c>
      <c r="AA82" s="275" t="s">
        <v>40</v>
      </c>
      <c r="AB82" s="275" t="s">
        <v>41</v>
      </c>
      <c r="AC82" s="264"/>
      <c r="AD82" s="253" t="s">
        <v>38</v>
      </c>
      <c r="AE82" s="253" t="s">
        <v>35</v>
      </c>
      <c r="AF82" s="253" t="s">
        <v>39</v>
      </c>
      <c r="AG82" s="275" t="s">
        <v>34</v>
      </c>
      <c r="AH82" s="275" t="s">
        <v>36</v>
      </c>
      <c r="AI82" s="275" t="s">
        <v>40</v>
      </c>
      <c r="AJ82" s="275" t="s">
        <v>41</v>
      </c>
      <c r="AK82" s="264"/>
      <c r="AL82" s="253" t="s">
        <v>38</v>
      </c>
      <c r="AM82" s="276" t="s">
        <v>35</v>
      </c>
      <c r="AN82" s="276" t="s">
        <v>39</v>
      </c>
      <c r="AO82" s="275" t="s">
        <v>34</v>
      </c>
      <c r="AP82" s="275" t="s">
        <v>36</v>
      </c>
      <c r="AQ82" s="275" t="s">
        <v>40</v>
      </c>
      <c r="AR82" s="275" t="s">
        <v>41</v>
      </c>
    </row>
    <row r="83" spans="1:44" ht="30" customHeight="1">
      <c r="A83" s="513"/>
      <c r="B83" s="547"/>
      <c r="C83" s="560"/>
      <c r="D83" s="567"/>
      <c r="E83" s="37" t="s">
        <v>336</v>
      </c>
      <c r="F83" s="38" t="s">
        <v>337</v>
      </c>
      <c r="G83" s="38" t="s">
        <v>62</v>
      </c>
      <c r="H83" s="456" t="s">
        <v>426</v>
      </c>
      <c r="I83" s="456" t="s">
        <v>1537</v>
      </c>
      <c r="J83" s="43" t="s">
        <v>338</v>
      </c>
      <c r="K83" s="456" t="s">
        <v>339</v>
      </c>
      <c r="L83" s="456" t="s">
        <v>340</v>
      </c>
      <c r="M83" s="46" t="s">
        <v>1626</v>
      </c>
      <c r="N83" s="77" t="s">
        <v>232</v>
      </c>
      <c r="O83" s="412"/>
      <c r="P83" s="427" t="s">
        <v>154</v>
      </c>
      <c r="Q83" s="395" t="s">
        <v>864</v>
      </c>
      <c r="R83" s="102"/>
      <c r="V83" s="274" t="s">
        <v>335</v>
      </c>
      <c r="W83" s="256">
        <f t="shared" ref="W83:AB83" si="70">COUNTIF($E82:$N82,W82)</f>
        <v>10</v>
      </c>
      <c r="X83" s="256">
        <f t="shared" si="70"/>
        <v>0</v>
      </c>
      <c r="Y83" s="256">
        <f t="shared" si="70"/>
        <v>0</v>
      </c>
      <c r="Z83" s="256">
        <f t="shared" si="70"/>
        <v>0</v>
      </c>
      <c r="AA83" s="256">
        <f t="shared" si="70"/>
        <v>0</v>
      </c>
      <c r="AB83" s="256">
        <f t="shared" si="70"/>
        <v>0</v>
      </c>
      <c r="AC83" s="264"/>
      <c r="AD83" s="274" t="s">
        <v>335</v>
      </c>
      <c r="AE83" s="256" t="e">
        <f ca="1">colorcount($E83:$N83,$S$3)+colorcount($E83:$N83,$S$4)+colorcount($E83:$N83,$S$5)+colorcount($E83:$N83,$S$6)+colorcount($E83:$N83,$S$7)+colorcount($E83:$N83,$S$9)+colorcount($E83:$N83,$S$10)+colorcount($E83:$N83,$S$11)+colorcount($E83:$N83,$S$12)</f>
        <v>#NAME?</v>
      </c>
      <c r="AF83" s="256" t="e">
        <f ca="1">colorcount($E83:$N83,$S$15)</f>
        <v>#NAME?</v>
      </c>
      <c r="AG83" s="256" t="e">
        <f ca="1">colorcount($E83:$N83,$S$17)+colorcount($E83:$N83,$S$18)+colorcount($E83:$N83,$S$19)+colorcount($E83:$N83,$S$20)+colorcount($E83:$N83,$S$21)</f>
        <v>#NAME?</v>
      </c>
      <c r="AH83" s="256" t="e">
        <f ca="1">colorcount($E83:$N83,$S$23)</f>
        <v>#NAME?</v>
      </c>
      <c r="AI83" s="256" t="e">
        <f ca="1">colorcount($E83:$N83,$S$26)</f>
        <v>#NAME?</v>
      </c>
      <c r="AJ83" s="256" t="e">
        <f ca="1">colorcount($E83:$N83,$S$28)</f>
        <v>#NAME?</v>
      </c>
      <c r="AK83" s="264"/>
      <c r="AL83" s="274" t="s">
        <v>335</v>
      </c>
      <c r="AM83" s="277" t="e">
        <f t="shared" ref="AM83:AR83" ca="1" si="71">IF(W83=AE83,"O","X")</f>
        <v>#NAME?</v>
      </c>
      <c r="AN83" s="277" t="e">
        <f t="shared" ca="1" si="71"/>
        <v>#NAME?</v>
      </c>
      <c r="AO83" s="277" t="e">
        <f t="shared" ca="1" si="71"/>
        <v>#NAME?</v>
      </c>
      <c r="AP83" s="277" t="e">
        <f t="shared" ca="1" si="71"/>
        <v>#NAME?</v>
      </c>
      <c r="AQ83" s="277" t="e">
        <f t="shared" ca="1" si="71"/>
        <v>#NAME?</v>
      </c>
      <c r="AR83" s="277" t="e">
        <f t="shared" ca="1" si="71"/>
        <v>#NAME?</v>
      </c>
    </row>
    <row r="84" spans="1:44" ht="14.1" customHeight="1">
      <c r="A84" s="513" t="s">
        <v>342</v>
      </c>
      <c r="B84" s="547" t="s">
        <v>343</v>
      </c>
      <c r="C84" s="560"/>
      <c r="D84" s="567"/>
      <c r="E84" s="370" t="s">
        <v>35</v>
      </c>
      <c r="F84" s="215" t="s">
        <v>35</v>
      </c>
      <c r="G84" s="215" t="s">
        <v>39</v>
      </c>
      <c r="H84" s="215" t="s">
        <v>35</v>
      </c>
      <c r="I84" s="215" t="s">
        <v>35</v>
      </c>
      <c r="J84" s="215" t="s">
        <v>35</v>
      </c>
      <c r="K84" s="215" t="s">
        <v>35</v>
      </c>
      <c r="L84" s="215" t="s">
        <v>35</v>
      </c>
      <c r="M84" s="215" t="s">
        <v>35</v>
      </c>
      <c r="N84" s="241" t="s">
        <v>35</v>
      </c>
      <c r="O84" s="352"/>
      <c r="P84" s="353"/>
      <c r="Q84" s="356"/>
      <c r="R84" s="102"/>
      <c r="V84" s="253" t="s">
        <v>38</v>
      </c>
      <c r="W84" s="253" t="s">
        <v>35</v>
      </c>
      <c r="X84" s="253" t="s">
        <v>39</v>
      </c>
      <c r="Y84" s="275" t="s">
        <v>34</v>
      </c>
      <c r="Z84" s="275" t="s">
        <v>36</v>
      </c>
      <c r="AA84" s="275" t="s">
        <v>40</v>
      </c>
      <c r="AB84" s="275" t="s">
        <v>41</v>
      </c>
      <c r="AC84" s="264"/>
      <c r="AD84" s="253" t="s">
        <v>38</v>
      </c>
      <c r="AE84" s="253" t="s">
        <v>35</v>
      </c>
      <c r="AF84" s="253" t="s">
        <v>39</v>
      </c>
      <c r="AG84" s="275" t="s">
        <v>34</v>
      </c>
      <c r="AH84" s="275" t="s">
        <v>36</v>
      </c>
      <c r="AI84" s="275" t="s">
        <v>40</v>
      </c>
      <c r="AJ84" s="275" t="s">
        <v>41</v>
      </c>
      <c r="AK84" s="264"/>
      <c r="AL84" s="253" t="s">
        <v>38</v>
      </c>
      <c r="AM84" s="276" t="s">
        <v>35</v>
      </c>
      <c r="AN84" s="276" t="s">
        <v>39</v>
      </c>
      <c r="AO84" s="275" t="s">
        <v>34</v>
      </c>
      <c r="AP84" s="275" t="s">
        <v>36</v>
      </c>
      <c r="AQ84" s="275" t="s">
        <v>40</v>
      </c>
      <c r="AR84" s="275" t="s">
        <v>41</v>
      </c>
    </row>
    <row r="85" spans="1:44" ht="30" customHeight="1">
      <c r="A85" s="513"/>
      <c r="B85" s="547"/>
      <c r="C85" s="560"/>
      <c r="D85" s="567"/>
      <c r="E85" s="37" t="s">
        <v>280</v>
      </c>
      <c r="F85" s="38" t="s">
        <v>293</v>
      </c>
      <c r="G85" s="221" t="s">
        <v>59</v>
      </c>
      <c r="H85" s="38" t="s">
        <v>344</v>
      </c>
      <c r="I85" s="40" t="s">
        <v>345</v>
      </c>
      <c r="J85" s="38" t="s">
        <v>346</v>
      </c>
      <c r="K85" s="456" t="s">
        <v>340</v>
      </c>
      <c r="L85" s="456" t="s">
        <v>347</v>
      </c>
      <c r="M85" s="38" t="s">
        <v>348</v>
      </c>
      <c r="N85" s="457" t="s">
        <v>253</v>
      </c>
      <c r="O85" s="408"/>
      <c r="P85" s="419" t="s">
        <v>835</v>
      </c>
      <c r="Q85" s="395" t="s">
        <v>864</v>
      </c>
      <c r="R85" s="102"/>
      <c r="V85" s="274" t="s">
        <v>343</v>
      </c>
      <c r="W85" s="256">
        <f t="shared" ref="W85:AB85" si="72">COUNTIF($E84:$N84,W84)</f>
        <v>9</v>
      </c>
      <c r="X85" s="256">
        <f t="shared" si="72"/>
        <v>1</v>
      </c>
      <c r="Y85" s="256">
        <f t="shared" si="72"/>
        <v>0</v>
      </c>
      <c r="Z85" s="256">
        <f t="shared" si="72"/>
        <v>0</v>
      </c>
      <c r="AA85" s="256">
        <f t="shared" si="72"/>
        <v>0</v>
      </c>
      <c r="AB85" s="256">
        <f t="shared" si="72"/>
        <v>0</v>
      </c>
      <c r="AC85" s="264"/>
      <c r="AD85" s="274" t="s">
        <v>343</v>
      </c>
      <c r="AE85" s="256" t="e">
        <f ca="1">colorcount($E85:$N85,$S$3)+colorcount($E85:$N85,$S$4)+colorcount($E85:$N85,$S$5)+colorcount($E85:$N85,$S$6)+colorcount($E85:$N85,$S$7)+colorcount($E85:$N85,$S$9)+colorcount($E85:$N85,$S$10)+colorcount($E85:$N85,$S$11)+colorcount($E85:$N85,$S$12)</f>
        <v>#NAME?</v>
      </c>
      <c r="AF85" s="256" t="e">
        <f ca="1">colorcount($E85:$N85,$S$15)</f>
        <v>#NAME?</v>
      </c>
      <c r="AG85" s="256" t="e">
        <f ca="1">colorcount($E85:$N85,$S$17)+colorcount($E85:$N85,$S$18)+colorcount($E85:$N85,$S$19)+colorcount($E85:$N85,$S$20)+colorcount($E85:$N85,$S$21)</f>
        <v>#NAME?</v>
      </c>
      <c r="AH85" s="256" t="e">
        <f ca="1">colorcount($E85:$N85,$S$23)</f>
        <v>#NAME?</v>
      </c>
      <c r="AI85" s="256" t="e">
        <f ca="1">colorcount($E85:$N85,$S$26)</f>
        <v>#NAME?</v>
      </c>
      <c r="AJ85" s="256" t="e">
        <f ca="1">colorcount($E85:$N85,$S$28)</f>
        <v>#NAME?</v>
      </c>
      <c r="AK85" s="264"/>
      <c r="AL85" s="274" t="s">
        <v>343</v>
      </c>
      <c r="AM85" s="277" t="e">
        <f t="shared" ref="AM85:AR85" ca="1" si="73">IF(W85=AE85,"O","X")</f>
        <v>#NAME?</v>
      </c>
      <c r="AN85" s="277" t="e">
        <f t="shared" ca="1" si="73"/>
        <v>#NAME?</v>
      </c>
      <c r="AO85" s="277" t="e">
        <f t="shared" ca="1" si="73"/>
        <v>#NAME?</v>
      </c>
      <c r="AP85" s="277" t="e">
        <f t="shared" ca="1" si="73"/>
        <v>#NAME?</v>
      </c>
      <c r="AQ85" s="277" t="e">
        <f t="shared" ca="1" si="73"/>
        <v>#NAME?</v>
      </c>
      <c r="AR85" s="277" t="e">
        <f t="shared" ca="1" si="73"/>
        <v>#NAME?</v>
      </c>
    </row>
    <row r="86" spans="1:44" ht="14.1" customHeight="1">
      <c r="A86" s="513" t="s">
        <v>349</v>
      </c>
      <c r="B86" s="549" t="s">
        <v>350</v>
      </c>
      <c r="C86" s="560"/>
      <c r="D86" s="567"/>
      <c r="E86" s="363" t="s">
        <v>35</v>
      </c>
      <c r="F86" s="215" t="s">
        <v>35</v>
      </c>
      <c r="G86" s="215" t="s">
        <v>35</v>
      </c>
      <c r="H86" s="215" t="s">
        <v>35</v>
      </c>
      <c r="I86" s="215" t="s">
        <v>35</v>
      </c>
      <c r="J86" s="215" t="s">
        <v>35</v>
      </c>
      <c r="K86" s="215" t="s">
        <v>35</v>
      </c>
      <c r="L86" s="215" t="s">
        <v>35</v>
      </c>
      <c r="M86" s="215" t="s">
        <v>35</v>
      </c>
      <c r="N86" s="241" t="s">
        <v>35</v>
      </c>
      <c r="O86" s="352"/>
      <c r="P86" s="353"/>
      <c r="Q86" s="356"/>
      <c r="R86" s="102"/>
      <c r="V86" s="253" t="s">
        <v>38</v>
      </c>
      <c r="W86" s="253" t="s">
        <v>35</v>
      </c>
      <c r="X86" s="253" t="s">
        <v>39</v>
      </c>
      <c r="Y86" s="275" t="s">
        <v>34</v>
      </c>
      <c r="Z86" s="275" t="s">
        <v>36</v>
      </c>
      <c r="AA86" s="275" t="s">
        <v>40</v>
      </c>
      <c r="AB86" s="275" t="s">
        <v>41</v>
      </c>
      <c r="AC86" s="264"/>
      <c r="AD86" s="253" t="s">
        <v>38</v>
      </c>
      <c r="AE86" s="253" t="s">
        <v>35</v>
      </c>
      <c r="AF86" s="253" t="s">
        <v>39</v>
      </c>
      <c r="AG86" s="275" t="s">
        <v>34</v>
      </c>
      <c r="AH86" s="275" t="s">
        <v>36</v>
      </c>
      <c r="AI86" s="275" t="s">
        <v>40</v>
      </c>
      <c r="AJ86" s="275" t="s">
        <v>41</v>
      </c>
      <c r="AK86" s="264"/>
      <c r="AL86" s="253" t="s">
        <v>38</v>
      </c>
      <c r="AM86" s="276" t="s">
        <v>35</v>
      </c>
      <c r="AN86" s="276" t="s">
        <v>39</v>
      </c>
      <c r="AO86" s="275" t="s">
        <v>34</v>
      </c>
      <c r="AP86" s="275" t="s">
        <v>36</v>
      </c>
      <c r="AQ86" s="275" t="s">
        <v>40</v>
      </c>
      <c r="AR86" s="275" t="s">
        <v>41</v>
      </c>
    </row>
    <row r="87" spans="1:44" ht="30" customHeight="1">
      <c r="A87" s="513"/>
      <c r="B87" s="549"/>
      <c r="C87" s="560"/>
      <c r="D87" s="567"/>
      <c r="E87" s="454" t="s">
        <v>1601</v>
      </c>
      <c r="F87" s="38" t="s">
        <v>351</v>
      </c>
      <c r="G87" s="469" t="s">
        <v>1649</v>
      </c>
      <c r="H87" s="456" t="s">
        <v>352</v>
      </c>
      <c r="I87" s="38" t="s">
        <v>353</v>
      </c>
      <c r="J87" s="50" t="s">
        <v>1532</v>
      </c>
      <c r="K87" s="44" t="s">
        <v>354</v>
      </c>
      <c r="L87" s="38" t="s">
        <v>355</v>
      </c>
      <c r="M87" s="38" t="s">
        <v>356</v>
      </c>
      <c r="N87" s="77" t="s">
        <v>1747</v>
      </c>
      <c r="O87" s="408"/>
      <c r="P87" s="419" t="s">
        <v>814</v>
      </c>
      <c r="Q87" s="395" t="s">
        <v>864</v>
      </c>
      <c r="R87" s="102"/>
      <c r="V87" s="274" t="s">
        <v>350</v>
      </c>
      <c r="W87" s="256">
        <f t="shared" ref="W87:AB87" si="74">COUNTIF($E86:$N86,W86)</f>
        <v>10</v>
      </c>
      <c r="X87" s="256">
        <f t="shared" si="74"/>
        <v>0</v>
      </c>
      <c r="Y87" s="256">
        <f t="shared" si="74"/>
        <v>0</v>
      </c>
      <c r="Z87" s="256">
        <f t="shared" si="74"/>
        <v>0</v>
      </c>
      <c r="AA87" s="256">
        <f t="shared" si="74"/>
        <v>0</v>
      </c>
      <c r="AB87" s="256">
        <f t="shared" si="74"/>
        <v>0</v>
      </c>
      <c r="AC87" s="264"/>
      <c r="AD87" s="274" t="s">
        <v>350</v>
      </c>
      <c r="AE87" s="256" t="e">
        <f ca="1">colorcount($E87:$N87,$S$3)+colorcount($E87:$N87,$S$4)+colorcount($E87:$N87,$S$5)+colorcount($E87:$N87,$S$6)+colorcount($E87:$N87,$S$7)+colorcount($E87:$N87,$S$9)+colorcount($E87:$N87,$S$10)+colorcount($E87:$N87,$S$11)+colorcount($E87:$N87,$S$12)</f>
        <v>#NAME?</v>
      </c>
      <c r="AF87" s="256" t="e">
        <f ca="1">colorcount($F87:$N87,$S$15)</f>
        <v>#NAME?</v>
      </c>
      <c r="AG87" s="256" t="e">
        <f ca="1">colorcount($F87:$N87,$S$17)+colorcount($F87:$N87,$S$18)+colorcount($F87:$N87,$S$19)+colorcount($F87:$N87,$S$20)+colorcount($F87:$N87,$S$21)</f>
        <v>#NAME?</v>
      </c>
      <c r="AH87" s="256" t="e">
        <f ca="1">colorcount($F87:$N87,$S$23)</f>
        <v>#NAME?</v>
      </c>
      <c r="AI87" s="256" t="e">
        <f ca="1">colorcount($F87:$N87,$S$26)</f>
        <v>#NAME?</v>
      </c>
      <c r="AJ87" s="256" t="e">
        <f ca="1">colorcount($F87:$N87,$S$28)</f>
        <v>#NAME?</v>
      </c>
      <c r="AK87" s="264"/>
      <c r="AL87" s="274" t="s">
        <v>350</v>
      </c>
      <c r="AM87" s="277" t="e">
        <f t="shared" ref="AM87:AR87" ca="1" si="75">IF(W87=AE87,"O","X")</f>
        <v>#NAME?</v>
      </c>
      <c r="AN87" s="277" t="e">
        <f t="shared" ca="1" si="75"/>
        <v>#NAME?</v>
      </c>
      <c r="AO87" s="277" t="e">
        <f t="shared" ca="1" si="75"/>
        <v>#NAME?</v>
      </c>
      <c r="AP87" s="277" t="e">
        <f t="shared" ca="1" si="75"/>
        <v>#NAME?</v>
      </c>
      <c r="AQ87" s="277" t="e">
        <f t="shared" ca="1" si="75"/>
        <v>#NAME?</v>
      </c>
      <c r="AR87" s="277" t="e">
        <f t="shared" ca="1" si="75"/>
        <v>#NAME?</v>
      </c>
    </row>
    <row r="88" spans="1:44" ht="14.1" customHeight="1">
      <c r="A88" s="513" t="s">
        <v>357</v>
      </c>
      <c r="B88" s="549" t="s">
        <v>358</v>
      </c>
      <c r="C88" s="560"/>
      <c r="D88" s="567"/>
      <c r="E88" s="363" t="s">
        <v>35</v>
      </c>
      <c r="F88" s="215" t="s">
        <v>35</v>
      </c>
      <c r="G88" s="215" t="s">
        <v>35</v>
      </c>
      <c r="H88" s="215" t="s">
        <v>35</v>
      </c>
      <c r="I88" s="215" t="s">
        <v>35</v>
      </c>
      <c r="J88" s="215" t="s">
        <v>35</v>
      </c>
      <c r="K88" s="215" t="s">
        <v>35</v>
      </c>
      <c r="L88" s="215" t="s">
        <v>35</v>
      </c>
      <c r="M88" s="215" t="s">
        <v>35</v>
      </c>
      <c r="N88" s="241" t="s">
        <v>35</v>
      </c>
      <c r="O88" s="352"/>
      <c r="P88" s="353"/>
      <c r="Q88" s="356"/>
      <c r="R88" s="102"/>
      <c r="V88" s="253" t="s">
        <v>38</v>
      </c>
      <c r="W88" s="253" t="s">
        <v>35</v>
      </c>
      <c r="X88" s="253" t="s">
        <v>39</v>
      </c>
      <c r="Y88" s="275" t="s">
        <v>34</v>
      </c>
      <c r="Z88" s="275" t="s">
        <v>36</v>
      </c>
      <c r="AA88" s="275" t="s">
        <v>40</v>
      </c>
      <c r="AB88" s="275" t="s">
        <v>41</v>
      </c>
      <c r="AC88" s="264"/>
      <c r="AD88" s="253" t="s">
        <v>38</v>
      </c>
      <c r="AE88" s="253" t="s">
        <v>35</v>
      </c>
      <c r="AF88" s="253" t="s">
        <v>39</v>
      </c>
      <c r="AG88" s="275" t="s">
        <v>34</v>
      </c>
      <c r="AH88" s="275" t="s">
        <v>36</v>
      </c>
      <c r="AI88" s="275" t="s">
        <v>40</v>
      </c>
      <c r="AJ88" s="275" t="s">
        <v>41</v>
      </c>
      <c r="AK88" s="264"/>
      <c r="AL88" s="253" t="s">
        <v>38</v>
      </c>
      <c r="AM88" s="276" t="s">
        <v>35</v>
      </c>
      <c r="AN88" s="276" t="s">
        <v>39</v>
      </c>
      <c r="AO88" s="275" t="s">
        <v>34</v>
      </c>
      <c r="AP88" s="275" t="s">
        <v>36</v>
      </c>
      <c r="AQ88" s="275" t="s">
        <v>40</v>
      </c>
      <c r="AR88" s="275" t="s">
        <v>41</v>
      </c>
    </row>
    <row r="89" spans="1:44" ht="30" customHeight="1">
      <c r="A89" s="513"/>
      <c r="B89" s="549"/>
      <c r="C89" s="560"/>
      <c r="D89" s="567"/>
      <c r="E89" s="37" t="s">
        <v>359</v>
      </c>
      <c r="F89" s="44" t="s">
        <v>360</v>
      </c>
      <c r="G89" s="38" t="s">
        <v>361</v>
      </c>
      <c r="H89" s="40" t="s">
        <v>362</v>
      </c>
      <c r="I89" s="38" t="s">
        <v>363</v>
      </c>
      <c r="J89" s="89" t="s">
        <v>364</v>
      </c>
      <c r="K89" s="38" t="s">
        <v>365</v>
      </c>
      <c r="L89" s="456" t="s">
        <v>366</v>
      </c>
      <c r="M89" s="43" t="s">
        <v>367</v>
      </c>
      <c r="N89" s="86" t="s">
        <v>368</v>
      </c>
      <c r="O89" s="408"/>
      <c r="P89" s="419" t="s">
        <v>333</v>
      </c>
      <c r="Q89" s="395" t="s">
        <v>864</v>
      </c>
      <c r="R89" s="102"/>
      <c r="V89" s="274" t="s">
        <v>358</v>
      </c>
      <c r="W89" s="256">
        <f t="shared" ref="W89:AB89" si="76">COUNTIF($E88:$N88,W88)</f>
        <v>10</v>
      </c>
      <c r="X89" s="256">
        <f t="shared" si="76"/>
        <v>0</v>
      </c>
      <c r="Y89" s="256">
        <f t="shared" si="76"/>
        <v>0</v>
      </c>
      <c r="Z89" s="256">
        <f t="shared" si="76"/>
        <v>0</v>
      </c>
      <c r="AA89" s="256">
        <f t="shared" si="76"/>
        <v>0</v>
      </c>
      <c r="AB89" s="256">
        <f t="shared" si="76"/>
        <v>0</v>
      </c>
      <c r="AC89" s="264"/>
      <c r="AD89" s="274" t="s">
        <v>358</v>
      </c>
      <c r="AE89" s="256" t="e">
        <f ca="1">colorcount($E89:$N89,$S$3)+colorcount($E89:$N89,$S$4)+colorcount($E89:$N89,$S$5)+colorcount($E89:$N89,$S$6)+colorcount($E89:$N89,$S$7)+colorcount($E89:$N89,$S$9)+colorcount($E89:$N89,$S$10)+colorcount($E89:$N89,$S$11)+colorcount($E89:$N89,$S$12)</f>
        <v>#NAME?</v>
      </c>
      <c r="AF89" s="256" t="e">
        <f ca="1">colorcount($E89:$N89,$S$15)</f>
        <v>#NAME?</v>
      </c>
      <c r="AG89" s="256" t="e">
        <f ca="1">colorcount($E89:$N89,$S$17)+colorcount($E89:$N89,$S$18)+colorcount($E89:$N89,$S$19)+colorcount($E89:$N89,$S$20)+colorcount($E89:$N89,$S$21)</f>
        <v>#NAME?</v>
      </c>
      <c r="AH89" s="256" t="e">
        <f ca="1">colorcount($E89:$N89,$S$23)</f>
        <v>#NAME?</v>
      </c>
      <c r="AI89" s="256" t="e">
        <f ca="1">colorcount($E89:$N89,$S$26)</f>
        <v>#NAME?</v>
      </c>
      <c r="AJ89" s="256" t="e">
        <f ca="1">colorcount($E89:$N89,$S$28)</f>
        <v>#NAME?</v>
      </c>
      <c r="AK89" s="264"/>
      <c r="AL89" s="274" t="s">
        <v>358</v>
      </c>
      <c r="AM89" s="277" t="e">
        <f t="shared" ref="AM89:AR89" ca="1" si="77">IF(W89=AE89,"O","X")</f>
        <v>#NAME?</v>
      </c>
      <c r="AN89" s="277" t="e">
        <f t="shared" ca="1" si="77"/>
        <v>#NAME?</v>
      </c>
      <c r="AO89" s="277" t="e">
        <f t="shared" ca="1" si="77"/>
        <v>#NAME?</v>
      </c>
      <c r="AP89" s="277" t="e">
        <f t="shared" ca="1" si="77"/>
        <v>#NAME?</v>
      </c>
      <c r="AQ89" s="277" t="e">
        <f t="shared" ca="1" si="77"/>
        <v>#NAME?</v>
      </c>
      <c r="AR89" s="277" t="e">
        <f t="shared" ca="1" si="77"/>
        <v>#NAME?</v>
      </c>
    </row>
    <row r="90" spans="1:44" ht="14.1" customHeight="1">
      <c r="A90" s="513" t="s">
        <v>369</v>
      </c>
      <c r="B90" s="549" t="s">
        <v>370</v>
      </c>
      <c r="C90" s="560"/>
      <c r="D90" s="567"/>
      <c r="E90" s="363" t="s">
        <v>35</v>
      </c>
      <c r="F90" s="240" t="s">
        <v>35</v>
      </c>
      <c r="G90" s="215" t="s">
        <v>35</v>
      </c>
      <c r="H90" s="215" t="s">
        <v>35</v>
      </c>
      <c r="I90" s="215" t="s">
        <v>35</v>
      </c>
      <c r="J90" s="215" t="s">
        <v>35</v>
      </c>
      <c r="K90" s="215" t="s">
        <v>35</v>
      </c>
      <c r="L90" s="215" t="s">
        <v>35</v>
      </c>
      <c r="M90" s="215" t="s">
        <v>35</v>
      </c>
      <c r="N90" s="241" t="s">
        <v>35</v>
      </c>
      <c r="O90" s="352"/>
      <c r="P90" s="353"/>
      <c r="Q90" s="356"/>
      <c r="R90" s="102"/>
      <c r="V90" s="253" t="s">
        <v>38</v>
      </c>
      <c r="W90" s="253" t="s">
        <v>35</v>
      </c>
      <c r="X90" s="253" t="s">
        <v>39</v>
      </c>
      <c r="Y90" s="275" t="s">
        <v>34</v>
      </c>
      <c r="Z90" s="275" t="s">
        <v>36</v>
      </c>
      <c r="AA90" s="275" t="s">
        <v>40</v>
      </c>
      <c r="AB90" s="275" t="s">
        <v>41</v>
      </c>
      <c r="AC90" s="264"/>
      <c r="AD90" s="253" t="s">
        <v>38</v>
      </c>
      <c r="AE90" s="253" t="s">
        <v>35</v>
      </c>
      <c r="AF90" s="253" t="s">
        <v>39</v>
      </c>
      <c r="AG90" s="275" t="s">
        <v>34</v>
      </c>
      <c r="AH90" s="275" t="s">
        <v>36</v>
      </c>
      <c r="AI90" s="275" t="s">
        <v>40</v>
      </c>
      <c r="AJ90" s="275" t="s">
        <v>41</v>
      </c>
      <c r="AK90" s="264"/>
      <c r="AL90" s="253" t="s">
        <v>38</v>
      </c>
      <c r="AM90" s="276" t="s">
        <v>35</v>
      </c>
      <c r="AN90" s="276" t="s">
        <v>39</v>
      </c>
      <c r="AO90" s="275" t="s">
        <v>34</v>
      </c>
      <c r="AP90" s="275" t="s">
        <v>36</v>
      </c>
      <c r="AQ90" s="275" t="s">
        <v>40</v>
      </c>
      <c r="AR90" s="275" t="s">
        <v>41</v>
      </c>
    </row>
    <row r="91" spans="1:44" ht="30" customHeight="1">
      <c r="A91" s="513"/>
      <c r="B91" s="549"/>
      <c r="C91" s="560"/>
      <c r="D91" s="567"/>
      <c r="E91" s="37" t="s">
        <v>371</v>
      </c>
      <c r="F91" s="38" t="s">
        <v>372</v>
      </c>
      <c r="G91" s="38" t="s">
        <v>373</v>
      </c>
      <c r="H91" s="452" t="s">
        <v>374</v>
      </c>
      <c r="I91" s="46" t="s">
        <v>1659</v>
      </c>
      <c r="J91" s="43" t="s">
        <v>375</v>
      </c>
      <c r="K91" s="38" t="s">
        <v>376</v>
      </c>
      <c r="L91" s="40" t="s">
        <v>1594</v>
      </c>
      <c r="M91" s="43" t="s">
        <v>377</v>
      </c>
      <c r="N91" s="77" t="s">
        <v>378</v>
      </c>
      <c r="O91" s="408"/>
      <c r="P91" s="419" t="s">
        <v>849</v>
      </c>
      <c r="Q91" s="395" t="s">
        <v>864</v>
      </c>
      <c r="R91" s="102"/>
      <c r="V91" s="274" t="s">
        <v>370</v>
      </c>
      <c r="W91" s="256">
        <f t="shared" ref="W91:AB91" si="78">COUNTIF($E90:$N90,W90)</f>
        <v>10</v>
      </c>
      <c r="X91" s="256">
        <f t="shared" si="78"/>
        <v>0</v>
      </c>
      <c r="Y91" s="256">
        <f t="shared" si="78"/>
        <v>0</v>
      </c>
      <c r="Z91" s="256">
        <f t="shared" si="78"/>
        <v>0</v>
      </c>
      <c r="AA91" s="256">
        <f t="shared" si="78"/>
        <v>0</v>
      </c>
      <c r="AB91" s="256">
        <f t="shared" si="78"/>
        <v>0</v>
      </c>
      <c r="AC91" s="264"/>
      <c r="AD91" s="274" t="s">
        <v>370</v>
      </c>
      <c r="AE91" s="256" t="e">
        <f ca="1">colorcount($E91:$N91,$S$3)+colorcount($E91:$N91,$S$4)+colorcount($E91:$N91,$S$5)+colorcount($E91:$N91,$S$6)+colorcount($E91:$N91,$S$7)+colorcount($E91:$N91,$S$9)+colorcount($E91:$N91,$S$10)+colorcount($E91:$N91,$S$11)+colorcount($E91:$N91,$S$12)</f>
        <v>#NAME?</v>
      </c>
      <c r="AF91" s="256" t="e">
        <f ca="1">colorcount($E91:$N91,$S$15)</f>
        <v>#NAME?</v>
      </c>
      <c r="AG91" s="256" t="e">
        <f ca="1">colorcount($E91:$N91,$S$17)+colorcount($E91:$N91,$S$18)+colorcount($E91:$N91,$S$19)+colorcount($E91:$N91,$S$20)+colorcount($E91:$N91,$S$21)</f>
        <v>#NAME?</v>
      </c>
      <c r="AH91" s="256" t="e">
        <f ca="1">colorcount($E91:$N91,$S$23)</f>
        <v>#NAME?</v>
      </c>
      <c r="AI91" s="256" t="e">
        <f ca="1">colorcount($E91:$N91,$S$26)</f>
        <v>#NAME?</v>
      </c>
      <c r="AJ91" s="256" t="e">
        <f ca="1">colorcount($E91:$N91,$S$28)</f>
        <v>#NAME?</v>
      </c>
      <c r="AK91" s="264"/>
      <c r="AL91" s="274" t="s">
        <v>370</v>
      </c>
      <c r="AM91" s="277" t="e">
        <f t="shared" ref="AM91:AR91" ca="1" si="79">IF(W91=AE91,"O","X")</f>
        <v>#NAME?</v>
      </c>
      <c r="AN91" s="277" t="e">
        <f t="shared" ca="1" si="79"/>
        <v>#NAME?</v>
      </c>
      <c r="AO91" s="277" t="e">
        <f t="shared" ca="1" si="79"/>
        <v>#NAME?</v>
      </c>
      <c r="AP91" s="277" t="e">
        <f t="shared" ca="1" si="79"/>
        <v>#NAME?</v>
      </c>
      <c r="AQ91" s="277" t="e">
        <f t="shared" ca="1" si="79"/>
        <v>#NAME?</v>
      </c>
      <c r="AR91" s="277" t="e">
        <f t="shared" ca="1" si="79"/>
        <v>#NAME?</v>
      </c>
    </row>
    <row r="92" spans="1:44" ht="14.1" customHeight="1">
      <c r="A92" s="513" t="s">
        <v>379</v>
      </c>
      <c r="B92" s="550" t="s">
        <v>380</v>
      </c>
      <c r="C92" s="560"/>
      <c r="D92" s="567"/>
      <c r="E92" s="363" t="s">
        <v>35</v>
      </c>
      <c r="F92" s="215" t="s">
        <v>35</v>
      </c>
      <c r="G92" s="215" t="s">
        <v>35</v>
      </c>
      <c r="H92" s="215" t="s">
        <v>35</v>
      </c>
      <c r="I92" s="215" t="s">
        <v>35</v>
      </c>
      <c r="J92" s="215" t="s">
        <v>35</v>
      </c>
      <c r="K92" s="215" t="s">
        <v>35</v>
      </c>
      <c r="L92" s="215" t="s">
        <v>35</v>
      </c>
      <c r="M92" s="215" t="s">
        <v>35</v>
      </c>
      <c r="N92" s="241" t="s">
        <v>35</v>
      </c>
      <c r="O92" s="352"/>
      <c r="P92" s="353"/>
      <c r="Q92" s="356"/>
      <c r="R92" s="102"/>
      <c r="V92" s="253" t="s">
        <v>38</v>
      </c>
      <c r="W92" s="253" t="s">
        <v>35</v>
      </c>
      <c r="X92" s="253" t="s">
        <v>39</v>
      </c>
      <c r="Y92" s="275" t="s">
        <v>34</v>
      </c>
      <c r="Z92" s="275" t="s">
        <v>36</v>
      </c>
      <c r="AA92" s="275" t="s">
        <v>40</v>
      </c>
      <c r="AB92" s="275" t="s">
        <v>41</v>
      </c>
      <c r="AC92" s="264"/>
      <c r="AD92" s="253" t="s">
        <v>38</v>
      </c>
      <c r="AE92" s="253" t="s">
        <v>35</v>
      </c>
      <c r="AF92" s="253" t="s">
        <v>39</v>
      </c>
      <c r="AG92" s="275" t="s">
        <v>34</v>
      </c>
      <c r="AH92" s="275" t="s">
        <v>36</v>
      </c>
      <c r="AI92" s="275" t="s">
        <v>40</v>
      </c>
      <c r="AJ92" s="275" t="s">
        <v>41</v>
      </c>
      <c r="AK92" s="264"/>
      <c r="AL92" s="253" t="s">
        <v>38</v>
      </c>
      <c r="AM92" s="276" t="s">
        <v>35</v>
      </c>
      <c r="AN92" s="276" t="s">
        <v>39</v>
      </c>
      <c r="AO92" s="275" t="s">
        <v>34</v>
      </c>
      <c r="AP92" s="275" t="s">
        <v>36</v>
      </c>
      <c r="AQ92" s="275" t="s">
        <v>40</v>
      </c>
      <c r="AR92" s="275" t="s">
        <v>41</v>
      </c>
    </row>
    <row r="93" spans="1:44" ht="30" customHeight="1">
      <c r="A93" s="513"/>
      <c r="B93" s="550"/>
      <c r="C93" s="560"/>
      <c r="D93" s="567"/>
      <c r="E93" s="37" t="s">
        <v>381</v>
      </c>
      <c r="F93" s="44" t="s">
        <v>1548</v>
      </c>
      <c r="G93" s="46" t="s">
        <v>1625</v>
      </c>
      <c r="H93" s="38" t="s">
        <v>382</v>
      </c>
      <c r="I93" s="40" t="s">
        <v>383</v>
      </c>
      <c r="J93" s="435" t="s">
        <v>1545</v>
      </c>
      <c r="K93" s="456" t="s">
        <v>282</v>
      </c>
      <c r="L93" s="38" t="s">
        <v>93</v>
      </c>
      <c r="M93" s="42" t="s">
        <v>384</v>
      </c>
      <c r="N93" s="77" t="s">
        <v>385</v>
      </c>
      <c r="O93" s="408"/>
      <c r="P93" s="429" t="s">
        <v>47</v>
      </c>
      <c r="Q93" s="395" t="s">
        <v>864</v>
      </c>
      <c r="R93" s="102"/>
      <c r="V93" s="274" t="s">
        <v>380</v>
      </c>
      <c r="W93" s="256">
        <f t="shared" ref="W93:AB93" si="80">COUNTIF($E92:$N92,W92)</f>
        <v>10</v>
      </c>
      <c r="X93" s="256">
        <f t="shared" si="80"/>
        <v>0</v>
      </c>
      <c r="Y93" s="256">
        <f t="shared" si="80"/>
        <v>0</v>
      </c>
      <c r="Z93" s="256">
        <f t="shared" si="80"/>
        <v>0</v>
      </c>
      <c r="AA93" s="256">
        <f t="shared" si="80"/>
        <v>0</v>
      </c>
      <c r="AB93" s="256">
        <f t="shared" si="80"/>
        <v>0</v>
      </c>
      <c r="AC93" s="264"/>
      <c r="AD93" s="274" t="s">
        <v>380</v>
      </c>
      <c r="AE93" s="256" t="e">
        <f ca="1">colorcount($E93:$N93,$S$3)+colorcount($E93:$N93,$S$4)+colorcount($E93:$N93,$S$5)+colorcount($E93:$N93,$S$6)+colorcount($E93:$N93,$S$7)+colorcount($E93:$N93,$S$9)+colorcount($E93:$N93,$S$10)+colorcount($E93:$N93,$S$11)+colorcount($E93:$N93,$S$12)</f>
        <v>#NAME?</v>
      </c>
      <c r="AF93" s="256" t="e">
        <f ca="1">colorcount($E93:$N93,$S$15)</f>
        <v>#NAME?</v>
      </c>
      <c r="AG93" s="256" t="e">
        <f ca="1">colorcount($E93:$N93,$S$17)+colorcount($E93:$N93,$S$18)+colorcount($E93:$N93,$S$19)+colorcount($E93:$N93,$S$20)+colorcount($E93:$N93,$S$21)</f>
        <v>#NAME?</v>
      </c>
      <c r="AH93" s="256" t="e">
        <f ca="1">colorcount($E93:$N93,$S$23)</f>
        <v>#NAME?</v>
      </c>
      <c r="AI93" s="256" t="e">
        <f ca="1">colorcount($E93:$N93,$S$26)</f>
        <v>#NAME?</v>
      </c>
      <c r="AJ93" s="256" t="e">
        <f ca="1">colorcount($E93:$N93,$S$28)</f>
        <v>#NAME?</v>
      </c>
      <c r="AK93" s="264"/>
      <c r="AL93" s="274" t="s">
        <v>380</v>
      </c>
      <c r="AM93" s="277" t="e">
        <f t="shared" ref="AM93:AR93" ca="1" si="81">IF(W93=AE93,"O","X")</f>
        <v>#NAME?</v>
      </c>
      <c r="AN93" s="277" t="e">
        <f t="shared" ca="1" si="81"/>
        <v>#NAME?</v>
      </c>
      <c r="AO93" s="277" t="e">
        <f t="shared" ca="1" si="81"/>
        <v>#NAME?</v>
      </c>
      <c r="AP93" s="277" t="e">
        <f t="shared" ca="1" si="81"/>
        <v>#NAME?</v>
      </c>
      <c r="AQ93" s="277" t="e">
        <f t="shared" ca="1" si="81"/>
        <v>#NAME?</v>
      </c>
      <c r="AR93" s="277" t="e">
        <f t="shared" ca="1" si="81"/>
        <v>#NAME?</v>
      </c>
    </row>
    <row r="94" spans="1:44" ht="14.1" customHeight="1">
      <c r="A94" s="513" t="s">
        <v>386</v>
      </c>
      <c r="B94" s="550" t="s">
        <v>387</v>
      </c>
      <c r="C94" s="560"/>
      <c r="D94" s="567"/>
      <c r="E94" s="363" t="s">
        <v>35</v>
      </c>
      <c r="F94" s="215" t="s">
        <v>35</v>
      </c>
      <c r="G94" s="215" t="s">
        <v>35</v>
      </c>
      <c r="H94" s="215" t="s">
        <v>35</v>
      </c>
      <c r="I94" s="215" t="s">
        <v>35</v>
      </c>
      <c r="J94" s="215" t="s">
        <v>35</v>
      </c>
      <c r="K94" s="215" t="s">
        <v>35</v>
      </c>
      <c r="L94" s="215" t="s">
        <v>35</v>
      </c>
      <c r="M94" s="215" t="s">
        <v>35</v>
      </c>
      <c r="N94" s="241" t="s">
        <v>35</v>
      </c>
      <c r="O94" s="352"/>
      <c r="P94" s="353"/>
      <c r="Q94" s="356"/>
      <c r="R94" s="102"/>
      <c r="V94" s="253" t="s">
        <v>38</v>
      </c>
      <c r="W94" s="253" t="s">
        <v>35</v>
      </c>
      <c r="X94" s="253" t="s">
        <v>39</v>
      </c>
      <c r="Y94" s="275" t="s">
        <v>34</v>
      </c>
      <c r="Z94" s="275" t="s">
        <v>36</v>
      </c>
      <c r="AA94" s="275" t="s">
        <v>40</v>
      </c>
      <c r="AB94" s="275" t="s">
        <v>41</v>
      </c>
      <c r="AC94" s="264"/>
      <c r="AD94" s="253" t="s">
        <v>38</v>
      </c>
      <c r="AE94" s="253" t="s">
        <v>35</v>
      </c>
      <c r="AF94" s="253" t="s">
        <v>39</v>
      </c>
      <c r="AG94" s="275" t="s">
        <v>34</v>
      </c>
      <c r="AH94" s="275" t="s">
        <v>36</v>
      </c>
      <c r="AI94" s="275" t="s">
        <v>40</v>
      </c>
      <c r="AJ94" s="275" t="s">
        <v>41</v>
      </c>
      <c r="AK94" s="264"/>
      <c r="AL94" s="253" t="s">
        <v>38</v>
      </c>
      <c r="AM94" s="276" t="s">
        <v>35</v>
      </c>
      <c r="AN94" s="276" t="s">
        <v>39</v>
      </c>
      <c r="AO94" s="275" t="s">
        <v>34</v>
      </c>
      <c r="AP94" s="275" t="s">
        <v>36</v>
      </c>
      <c r="AQ94" s="275" t="s">
        <v>40</v>
      </c>
      <c r="AR94" s="275" t="s">
        <v>41</v>
      </c>
    </row>
    <row r="95" spans="1:44" ht="30" customHeight="1">
      <c r="A95" s="513"/>
      <c r="B95" s="550"/>
      <c r="C95" s="560"/>
      <c r="D95" s="567"/>
      <c r="E95" s="37" t="s">
        <v>388</v>
      </c>
      <c r="F95" s="38" t="s">
        <v>389</v>
      </c>
      <c r="G95" s="40" t="s">
        <v>390</v>
      </c>
      <c r="H95" s="38" t="s">
        <v>391</v>
      </c>
      <c r="I95" s="38" t="s">
        <v>132</v>
      </c>
      <c r="J95" s="435" t="s">
        <v>1602</v>
      </c>
      <c r="K95" s="38" t="s">
        <v>392</v>
      </c>
      <c r="L95" s="46" t="s">
        <v>1790</v>
      </c>
      <c r="M95" s="38" t="s">
        <v>393</v>
      </c>
      <c r="N95" s="457" t="s">
        <v>366</v>
      </c>
      <c r="O95" s="408"/>
      <c r="P95" s="419" t="s">
        <v>784</v>
      </c>
      <c r="Q95" s="395" t="s">
        <v>864</v>
      </c>
      <c r="R95" s="102"/>
      <c r="V95" s="274" t="s">
        <v>387</v>
      </c>
      <c r="W95" s="256">
        <f t="shared" ref="W95:AB95" si="82">COUNTIF($E94:$N94,W94)</f>
        <v>10</v>
      </c>
      <c r="X95" s="256">
        <f t="shared" si="82"/>
        <v>0</v>
      </c>
      <c r="Y95" s="256">
        <f t="shared" si="82"/>
        <v>0</v>
      </c>
      <c r="Z95" s="256">
        <f t="shared" si="82"/>
        <v>0</v>
      </c>
      <c r="AA95" s="256">
        <f t="shared" si="82"/>
        <v>0</v>
      </c>
      <c r="AB95" s="256">
        <f t="shared" si="82"/>
        <v>0</v>
      </c>
      <c r="AC95" s="264"/>
      <c r="AD95" s="274" t="s">
        <v>387</v>
      </c>
      <c r="AE95" s="256" t="e">
        <f ca="1">colorcount($E95:$N95,$S$3)+colorcount($E95:$N95,$S$4)+colorcount($E95:$N95,$S$5)+colorcount($E95:$N95,$S$6)+colorcount($E95:$N95,$S$7)+colorcount($E95:$N95,$S$9)+colorcount($E95:$N95,$S$10)+colorcount($E95:$N95,$S$11)+colorcount($E95:$N95,$S$12)</f>
        <v>#NAME?</v>
      </c>
      <c r="AF95" s="256" t="e">
        <f ca="1">colorcount($E95:$M95,$S$15)</f>
        <v>#NAME?</v>
      </c>
      <c r="AG95" s="256" t="e">
        <f ca="1">colorcount($E95:$M95,$S$17)+colorcount($E95:$M95,$S$18)+colorcount($E95:$M95,$S$19)+colorcount($E95:$M95,$S$20)+colorcount($E95:$M95,$S$21)</f>
        <v>#NAME?</v>
      </c>
      <c r="AH95" s="256" t="e">
        <f ca="1">colorcount($E95:$M95,$S$23)</f>
        <v>#NAME?</v>
      </c>
      <c r="AI95" s="256" t="e">
        <f ca="1">colorcount($E95:$M95,$S$26)</f>
        <v>#NAME?</v>
      </c>
      <c r="AJ95" s="256" t="e">
        <f ca="1">colorcount($E95:$M95,$S$28)</f>
        <v>#NAME?</v>
      </c>
      <c r="AK95" s="264"/>
      <c r="AL95" s="274" t="s">
        <v>387</v>
      </c>
      <c r="AM95" s="277" t="e">
        <f t="shared" ref="AM95:AR95" ca="1" si="83">IF(W95=AE95,"O","X")</f>
        <v>#NAME?</v>
      </c>
      <c r="AN95" s="277" t="e">
        <f t="shared" ca="1" si="83"/>
        <v>#NAME?</v>
      </c>
      <c r="AO95" s="277" t="e">
        <f t="shared" ca="1" si="83"/>
        <v>#NAME?</v>
      </c>
      <c r="AP95" s="277" t="e">
        <f t="shared" ca="1" si="83"/>
        <v>#NAME?</v>
      </c>
      <c r="AQ95" s="277" t="e">
        <f t="shared" ca="1" si="83"/>
        <v>#NAME?</v>
      </c>
      <c r="AR95" s="277" t="e">
        <f t="shared" ca="1" si="83"/>
        <v>#NAME?</v>
      </c>
    </row>
    <row r="96" spans="1:44" ht="14.1" customHeight="1">
      <c r="A96" s="513" t="s">
        <v>394</v>
      </c>
      <c r="B96" s="549" t="s">
        <v>395</v>
      </c>
      <c r="C96" s="560"/>
      <c r="D96" s="567"/>
      <c r="E96" s="363" t="s">
        <v>35</v>
      </c>
      <c r="F96" s="215" t="s">
        <v>35</v>
      </c>
      <c r="G96" s="215" t="s">
        <v>34</v>
      </c>
      <c r="H96" s="133"/>
      <c r="I96" s="215" t="s">
        <v>35</v>
      </c>
      <c r="J96" s="133"/>
      <c r="K96" s="215" t="s">
        <v>35</v>
      </c>
      <c r="L96" s="215" t="s">
        <v>35</v>
      </c>
      <c r="M96" s="215" t="s">
        <v>35</v>
      </c>
      <c r="N96" s="241" t="s">
        <v>35</v>
      </c>
      <c r="O96" s="352"/>
      <c r="P96" s="353"/>
      <c r="Q96" s="356"/>
      <c r="R96" s="102"/>
      <c r="V96" s="253" t="s">
        <v>38</v>
      </c>
      <c r="W96" s="253" t="s">
        <v>35</v>
      </c>
      <c r="X96" s="253" t="s">
        <v>39</v>
      </c>
      <c r="Y96" s="275" t="s">
        <v>34</v>
      </c>
      <c r="Z96" s="275" t="s">
        <v>36</v>
      </c>
      <c r="AA96" s="275" t="s">
        <v>40</v>
      </c>
      <c r="AB96" s="275" t="s">
        <v>41</v>
      </c>
      <c r="AC96" s="264"/>
      <c r="AD96" s="253" t="s">
        <v>38</v>
      </c>
      <c r="AE96" s="253" t="s">
        <v>35</v>
      </c>
      <c r="AF96" s="253" t="s">
        <v>39</v>
      </c>
      <c r="AG96" s="275" t="s">
        <v>34</v>
      </c>
      <c r="AH96" s="275" t="s">
        <v>36</v>
      </c>
      <c r="AI96" s="275" t="s">
        <v>40</v>
      </c>
      <c r="AJ96" s="275" t="s">
        <v>41</v>
      </c>
      <c r="AK96" s="264"/>
      <c r="AL96" s="253" t="s">
        <v>38</v>
      </c>
      <c r="AM96" s="276" t="s">
        <v>35</v>
      </c>
      <c r="AN96" s="276" t="s">
        <v>39</v>
      </c>
      <c r="AO96" s="275" t="s">
        <v>34</v>
      </c>
      <c r="AP96" s="275" t="s">
        <v>36</v>
      </c>
      <c r="AQ96" s="275" t="s">
        <v>40</v>
      </c>
      <c r="AR96" s="275" t="s">
        <v>41</v>
      </c>
    </row>
    <row r="97" spans="1:44" ht="30" customHeight="1">
      <c r="A97" s="513"/>
      <c r="B97" s="549"/>
      <c r="C97" s="560"/>
      <c r="D97" s="567"/>
      <c r="E97" s="37" t="s">
        <v>396</v>
      </c>
      <c r="F97" s="38" t="s">
        <v>397</v>
      </c>
      <c r="G97" s="58" t="s">
        <v>398</v>
      </c>
      <c r="H97" s="217" t="s">
        <v>48</v>
      </c>
      <c r="I97" s="40" t="s">
        <v>399</v>
      </c>
      <c r="J97" s="217" t="s">
        <v>48</v>
      </c>
      <c r="K97" s="38" t="s">
        <v>400</v>
      </c>
      <c r="L97" s="38" t="s">
        <v>401</v>
      </c>
      <c r="M97" s="38" t="s">
        <v>402</v>
      </c>
      <c r="N97" s="77" t="s">
        <v>403</v>
      </c>
      <c r="O97" s="408"/>
      <c r="P97" s="419" t="s">
        <v>946</v>
      </c>
      <c r="Q97" s="395" t="s">
        <v>864</v>
      </c>
      <c r="R97" s="102"/>
      <c r="V97" s="274" t="s">
        <v>395</v>
      </c>
      <c r="W97" s="256">
        <f t="shared" ref="W97:AB97" si="84">COUNTIF($E96:$N96,W96)</f>
        <v>7</v>
      </c>
      <c r="X97" s="256">
        <f t="shared" si="84"/>
        <v>0</v>
      </c>
      <c r="Y97" s="256">
        <f t="shared" si="84"/>
        <v>1</v>
      </c>
      <c r="Z97" s="256">
        <f t="shared" si="84"/>
        <v>0</v>
      </c>
      <c r="AA97" s="256">
        <f t="shared" si="84"/>
        <v>0</v>
      </c>
      <c r="AB97" s="256">
        <f t="shared" si="84"/>
        <v>0</v>
      </c>
      <c r="AC97" s="264"/>
      <c r="AD97" s="274" t="s">
        <v>395</v>
      </c>
      <c r="AE97" s="256" t="e">
        <f ca="1">colorcount($E97:$N97,$S$3)+colorcount($E97:$N97,$S$4)+colorcount($E97:$N97,$S$5)+colorcount($E97:$N97,$S$6)+colorcount($E97:$N97,$S$7)+colorcount($E97:$N97,$S$9)+colorcount($E97:$N97,$S$10)+colorcount($E97:$N97,$S$11)+colorcount($E97:$N97,$S$12)</f>
        <v>#NAME?</v>
      </c>
      <c r="AF97" s="256" t="e">
        <f ca="1">colorcount($E97:$N97,$S$15)</f>
        <v>#NAME?</v>
      </c>
      <c r="AG97" s="256" t="e">
        <f ca="1">colorcount($E97:$N97,$S$17)+colorcount($E97:$N97,$S$18)+colorcount($E97:$N97,$S$19)+colorcount($E97:$N97,$S$20)+colorcount($E97:$N97,$S$21)</f>
        <v>#NAME?</v>
      </c>
      <c r="AH97" s="256" t="e">
        <f ca="1">colorcount($E97:$N97,$S$23)</f>
        <v>#NAME?</v>
      </c>
      <c r="AI97" s="256" t="e">
        <f ca="1">colorcount($E97:$N97,$S$26)</f>
        <v>#NAME?</v>
      </c>
      <c r="AJ97" s="256" t="e">
        <f ca="1">colorcount($E97:$N97,$S$28)</f>
        <v>#NAME?</v>
      </c>
      <c r="AK97" s="264"/>
      <c r="AL97" s="274" t="s">
        <v>395</v>
      </c>
      <c r="AM97" s="277" t="e">
        <f t="shared" ref="AM97:AR97" ca="1" si="85">IF(W97=AE97,"O","X")</f>
        <v>#NAME?</v>
      </c>
      <c r="AN97" s="277" t="e">
        <f t="shared" ca="1" si="85"/>
        <v>#NAME?</v>
      </c>
      <c r="AO97" s="277" t="e">
        <f t="shared" ca="1" si="85"/>
        <v>#NAME?</v>
      </c>
      <c r="AP97" s="277" t="e">
        <f t="shared" ca="1" si="85"/>
        <v>#NAME?</v>
      </c>
      <c r="AQ97" s="277" t="e">
        <f t="shared" ca="1" si="85"/>
        <v>#NAME?</v>
      </c>
      <c r="AR97" s="277" t="e">
        <f t="shared" ca="1" si="85"/>
        <v>#NAME?</v>
      </c>
    </row>
    <row r="98" spans="1:44" ht="14.1" customHeight="1">
      <c r="A98" s="513" t="s">
        <v>405</v>
      </c>
      <c r="B98" s="549" t="s">
        <v>406</v>
      </c>
      <c r="C98" s="560"/>
      <c r="D98" s="567"/>
      <c r="E98" s="363" t="s">
        <v>35</v>
      </c>
      <c r="F98" s="215" t="s">
        <v>35</v>
      </c>
      <c r="G98" s="215" t="s">
        <v>35</v>
      </c>
      <c r="H98" s="215" t="s">
        <v>35</v>
      </c>
      <c r="I98" s="215" t="s">
        <v>35</v>
      </c>
      <c r="J98" s="215" t="s">
        <v>35</v>
      </c>
      <c r="K98" s="215" t="s">
        <v>35</v>
      </c>
      <c r="L98" s="215" t="s">
        <v>35</v>
      </c>
      <c r="M98" s="215" t="s">
        <v>35</v>
      </c>
      <c r="N98" s="241" t="s">
        <v>35</v>
      </c>
      <c r="O98" s="352"/>
      <c r="P98" s="353"/>
      <c r="Q98" s="356"/>
      <c r="R98" s="102"/>
      <c r="V98" s="253" t="s">
        <v>38</v>
      </c>
      <c r="W98" s="253" t="s">
        <v>35</v>
      </c>
      <c r="X98" s="253" t="s">
        <v>39</v>
      </c>
      <c r="Y98" s="275" t="s">
        <v>34</v>
      </c>
      <c r="Z98" s="275" t="s">
        <v>36</v>
      </c>
      <c r="AA98" s="275" t="s">
        <v>40</v>
      </c>
      <c r="AB98" s="275" t="s">
        <v>41</v>
      </c>
      <c r="AC98" s="264"/>
      <c r="AD98" s="253" t="s">
        <v>38</v>
      </c>
      <c r="AE98" s="253" t="s">
        <v>35</v>
      </c>
      <c r="AF98" s="253" t="s">
        <v>39</v>
      </c>
      <c r="AG98" s="275" t="s">
        <v>34</v>
      </c>
      <c r="AH98" s="275" t="s">
        <v>36</v>
      </c>
      <c r="AI98" s="275" t="s">
        <v>40</v>
      </c>
      <c r="AJ98" s="275" t="s">
        <v>41</v>
      </c>
      <c r="AK98" s="264"/>
      <c r="AL98" s="253" t="s">
        <v>38</v>
      </c>
      <c r="AM98" s="276" t="s">
        <v>35</v>
      </c>
      <c r="AN98" s="276" t="s">
        <v>39</v>
      </c>
      <c r="AO98" s="275" t="s">
        <v>34</v>
      </c>
      <c r="AP98" s="275" t="s">
        <v>36</v>
      </c>
      <c r="AQ98" s="275" t="s">
        <v>40</v>
      </c>
      <c r="AR98" s="275" t="s">
        <v>41</v>
      </c>
    </row>
    <row r="99" spans="1:44" ht="30" customHeight="1">
      <c r="A99" s="513"/>
      <c r="B99" s="549"/>
      <c r="C99" s="560"/>
      <c r="D99" s="567"/>
      <c r="E99" s="68" t="s">
        <v>407</v>
      </c>
      <c r="F99" s="42" t="s">
        <v>408</v>
      </c>
      <c r="G99" s="46" t="s">
        <v>1612</v>
      </c>
      <c r="H99" s="43" t="s">
        <v>377</v>
      </c>
      <c r="I99" s="42" t="s">
        <v>409</v>
      </c>
      <c r="J99" s="44" t="s">
        <v>410</v>
      </c>
      <c r="K99" s="87" t="s">
        <v>411</v>
      </c>
      <c r="L99" s="40" t="s">
        <v>430</v>
      </c>
      <c r="M99" s="44" t="s">
        <v>412</v>
      </c>
      <c r="N99" s="436" t="s">
        <v>1544</v>
      </c>
      <c r="O99" s="408"/>
      <c r="P99" s="419" t="s">
        <v>169</v>
      </c>
      <c r="Q99" s="395" t="s">
        <v>864</v>
      </c>
      <c r="R99" s="102"/>
      <c r="V99" s="274" t="s">
        <v>214</v>
      </c>
      <c r="W99" s="256">
        <f t="shared" ref="W99:AB99" si="86">COUNTIF($E98:$N98,W98)</f>
        <v>10</v>
      </c>
      <c r="X99" s="256">
        <f t="shared" si="86"/>
        <v>0</v>
      </c>
      <c r="Y99" s="256">
        <f t="shared" si="86"/>
        <v>0</v>
      </c>
      <c r="Z99" s="256">
        <f t="shared" si="86"/>
        <v>0</v>
      </c>
      <c r="AA99" s="256">
        <f t="shared" si="86"/>
        <v>0</v>
      </c>
      <c r="AB99" s="256">
        <f t="shared" si="86"/>
        <v>0</v>
      </c>
      <c r="AC99" s="264"/>
      <c r="AD99" s="274" t="s">
        <v>214</v>
      </c>
      <c r="AE99" s="256" t="e">
        <f ca="1">colorcount($E99:$N99,$S$3)+colorcount($E99:$N99,$S$4)+colorcount($E99:$N99,$S$5)+colorcount($E99:$N99,$S$6)+colorcount($E99:$N99,$S$7)+colorcount($E99:$N99,$S$9)+colorcount($E99:$N99,$S$10)+colorcount($E99:$N99,$S$11)+colorcount($E99:$N99,$S$12)</f>
        <v>#NAME?</v>
      </c>
      <c r="AF99" s="256" t="e">
        <f ca="1">colorcount($E99:$N99,$S$15)</f>
        <v>#NAME?</v>
      </c>
      <c r="AG99" s="256" t="e">
        <f ca="1">colorcount($E99:$N99,$S$17)+colorcount($E99:$N99,$S$18)+colorcount($E99:$N99,$S$19)+colorcount($E99:$N99,$S$20)+colorcount($E99:$N99,$S$21)</f>
        <v>#NAME?</v>
      </c>
      <c r="AH99" s="256" t="e">
        <f ca="1">colorcount($E99:$N99,$S$23)</f>
        <v>#NAME?</v>
      </c>
      <c r="AI99" s="256" t="e">
        <f ca="1">colorcount($E99:$N99,$S$26)</f>
        <v>#NAME?</v>
      </c>
      <c r="AJ99" s="256" t="e">
        <f ca="1">colorcount($E99:$N99,$S$28)</f>
        <v>#NAME?</v>
      </c>
      <c r="AK99" s="264"/>
      <c r="AL99" s="274" t="s">
        <v>214</v>
      </c>
      <c r="AM99" s="277" t="e">
        <f t="shared" ref="AM99:AR99" ca="1" si="87">IF(W99=AE99,"O","X")</f>
        <v>#NAME?</v>
      </c>
      <c r="AN99" s="277" t="e">
        <f t="shared" ca="1" si="87"/>
        <v>#NAME?</v>
      </c>
      <c r="AO99" s="277" t="e">
        <f t="shared" ca="1" si="87"/>
        <v>#NAME?</v>
      </c>
      <c r="AP99" s="277" t="e">
        <f t="shared" ca="1" si="87"/>
        <v>#NAME?</v>
      </c>
      <c r="AQ99" s="277" t="e">
        <f t="shared" ca="1" si="87"/>
        <v>#NAME?</v>
      </c>
      <c r="AR99" s="277" t="e">
        <f t="shared" ca="1" si="87"/>
        <v>#NAME?</v>
      </c>
    </row>
    <row r="100" spans="1:44" ht="14.1" customHeight="1">
      <c r="A100" s="513" t="s">
        <v>413</v>
      </c>
      <c r="B100" s="549" t="s">
        <v>414</v>
      </c>
      <c r="C100" s="560"/>
      <c r="D100" s="567"/>
      <c r="E100" s="363" t="s">
        <v>35</v>
      </c>
      <c r="F100" s="215" t="s">
        <v>35</v>
      </c>
      <c r="G100" s="215" t="s">
        <v>35</v>
      </c>
      <c r="H100" s="215" t="s">
        <v>35</v>
      </c>
      <c r="I100" s="215" t="s">
        <v>35</v>
      </c>
      <c r="J100" s="215" t="s">
        <v>35</v>
      </c>
      <c r="K100" s="215" t="s">
        <v>35</v>
      </c>
      <c r="L100" s="215" t="s">
        <v>35</v>
      </c>
      <c r="M100" s="215" t="s">
        <v>35</v>
      </c>
      <c r="N100" s="241" t="s">
        <v>35</v>
      </c>
      <c r="O100" s="352"/>
      <c r="P100" s="353"/>
      <c r="Q100" s="356"/>
      <c r="R100" s="102"/>
      <c r="V100" s="253" t="s">
        <v>38</v>
      </c>
      <c r="W100" s="253" t="s">
        <v>35</v>
      </c>
      <c r="X100" s="253" t="s">
        <v>39</v>
      </c>
      <c r="Y100" s="275" t="s">
        <v>34</v>
      </c>
      <c r="Z100" s="275" t="s">
        <v>36</v>
      </c>
      <c r="AA100" s="275" t="s">
        <v>40</v>
      </c>
      <c r="AB100" s="275" t="s">
        <v>41</v>
      </c>
      <c r="AC100" s="264"/>
      <c r="AD100" s="253" t="s">
        <v>38</v>
      </c>
      <c r="AE100" s="253" t="s">
        <v>35</v>
      </c>
      <c r="AF100" s="253" t="s">
        <v>39</v>
      </c>
      <c r="AG100" s="275" t="s">
        <v>34</v>
      </c>
      <c r="AH100" s="275" t="s">
        <v>36</v>
      </c>
      <c r="AI100" s="275" t="s">
        <v>40</v>
      </c>
      <c r="AJ100" s="275" t="s">
        <v>41</v>
      </c>
      <c r="AK100" s="264"/>
      <c r="AL100" s="253" t="s">
        <v>38</v>
      </c>
      <c r="AM100" s="276" t="s">
        <v>35</v>
      </c>
      <c r="AN100" s="276" t="s">
        <v>39</v>
      </c>
      <c r="AO100" s="275" t="s">
        <v>34</v>
      </c>
      <c r="AP100" s="275" t="s">
        <v>36</v>
      </c>
      <c r="AQ100" s="275" t="s">
        <v>40</v>
      </c>
      <c r="AR100" s="275" t="s">
        <v>41</v>
      </c>
    </row>
    <row r="101" spans="1:44" ht="30" customHeight="1">
      <c r="A101" s="513"/>
      <c r="B101" s="549"/>
      <c r="C101" s="560"/>
      <c r="D101" s="567"/>
      <c r="E101" s="37" t="s">
        <v>415</v>
      </c>
      <c r="F101" s="46" t="s">
        <v>1617</v>
      </c>
      <c r="G101" s="38" t="s">
        <v>416</v>
      </c>
      <c r="H101" s="38" t="s">
        <v>417</v>
      </c>
      <c r="I101" s="38" t="s">
        <v>418</v>
      </c>
      <c r="J101" s="40" t="s">
        <v>419</v>
      </c>
      <c r="K101" s="46" t="s">
        <v>1613</v>
      </c>
      <c r="L101" s="38" t="s">
        <v>1572</v>
      </c>
      <c r="M101" s="456" t="s">
        <v>420</v>
      </c>
      <c r="N101" s="80" t="s">
        <v>254</v>
      </c>
      <c r="O101" s="408"/>
      <c r="P101" s="419" t="s">
        <v>206</v>
      </c>
      <c r="Q101" s="395" t="s">
        <v>864</v>
      </c>
      <c r="R101" s="102"/>
      <c r="V101" s="282" t="s">
        <v>421</v>
      </c>
      <c r="W101" s="256">
        <f>COUNTIF($E100:$N100,W100)</f>
        <v>10</v>
      </c>
      <c r="X101" s="256">
        <f>COUNTIF($E141:$N141,X100)</f>
        <v>0</v>
      </c>
      <c r="Y101" s="256">
        <f>COUNTIF($E141:$N141,Y100)</f>
        <v>0</v>
      </c>
      <c r="Z101" s="256">
        <f>COUNTIF($E141:$N141,Z100)</f>
        <v>0</v>
      </c>
      <c r="AA101" s="256">
        <f>COUNTIF($E141:$N141,AA100)</f>
        <v>0</v>
      </c>
      <c r="AB101" s="256">
        <f>COUNTIF($E141:$N141,AB100)</f>
        <v>0</v>
      </c>
      <c r="AC101" s="264"/>
      <c r="AD101" s="282" t="s">
        <v>421</v>
      </c>
      <c r="AE101" s="256" t="e">
        <f ca="1">colorcount($E101:$N101,$S$3)+colorcount($E101:$N101,$S$4)+colorcount($E101:$N101,$S$5)+colorcount($E101:$N101,$S$6)+colorcount($E101:$N101,$S$7)+colorcount($E101:$N101,$S$9)+colorcount($E101:$N101,$S$10)+colorcount($E101:$N101,$S$11)+colorcount($E101:$N101,$S$12)</f>
        <v>#NAME?</v>
      </c>
      <c r="AF101" s="256" t="e">
        <f ca="1">colorcount($E101:$N101,$S$15)</f>
        <v>#NAME?</v>
      </c>
      <c r="AG101" s="256" t="e">
        <f ca="1">colorcount($E101:$N101,$S$17)+colorcount($E101:$N101,$S$18)+colorcount($E101:$N101,$S$19)+colorcount($E101:$N101,$S$20)+colorcount($E101:$N101,$S$21)</f>
        <v>#NAME?</v>
      </c>
      <c r="AH101" s="256" t="e">
        <f ca="1">colorcount($E101:$N101,$S$23)</f>
        <v>#NAME?</v>
      </c>
      <c r="AI101" s="256" t="e">
        <f ca="1">colorcount($E101:$N101,$S$26)</f>
        <v>#NAME?</v>
      </c>
      <c r="AJ101" s="256" t="e">
        <f ca="1">colorcount($E101:$N101,$S$28)</f>
        <v>#NAME?</v>
      </c>
      <c r="AK101" s="264"/>
      <c r="AL101" s="282" t="s">
        <v>421</v>
      </c>
      <c r="AM101" s="277" t="e">
        <f t="shared" ref="AM101:AR101" ca="1" si="88">IF(W101=AE101,"O","X")</f>
        <v>#NAME?</v>
      </c>
      <c r="AN101" s="277" t="e">
        <f t="shared" ca="1" si="88"/>
        <v>#NAME?</v>
      </c>
      <c r="AO101" s="277" t="e">
        <f t="shared" ca="1" si="88"/>
        <v>#NAME?</v>
      </c>
      <c r="AP101" s="277" t="e">
        <f t="shared" ca="1" si="88"/>
        <v>#NAME?</v>
      </c>
      <c r="AQ101" s="277" t="e">
        <f t="shared" ca="1" si="88"/>
        <v>#NAME?</v>
      </c>
      <c r="AR101" s="277" t="e">
        <f t="shared" ca="1" si="88"/>
        <v>#NAME?</v>
      </c>
    </row>
    <row r="102" spans="1:44" ht="14.1" customHeight="1">
      <c r="A102" s="513" t="s">
        <v>422</v>
      </c>
      <c r="B102" s="549" t="s">
        <v>423</v>
      </c>
      <c r="C102" s="560"/>
      <c r="D102" s="567"/>
      <c r="E102" s="363" t="s">
        <v>35</v>
      </c>
      <c r="F102" s="215" t="s">
        <v>35</v>
      </c>
      <c r="G102" s="215" t="s">
        <v>35</v>
      </c>
      <c r="H102" s="215" t="s">
        <v>35</v>
      </c>
      <c r="I102" s="215" t="s">
        <v>35</v>
      </c>
      <c r="J102" s="215" t="s">
        <v>35</v>
      </c>
      <c r="K102" s="215" t="s">
        <v>35</v>
      </c>
      <c r="L102" s="215" t="s">
        <v>35</v>
      </c>
      <c r="M102" s="215" t="s">
        <v>35</v>
      </c>
      <c r="N102" s="241" t="s">
        <v>35</v>
      </c>
      <c r="O102" s="409"/>
      <c r="P102" s="421"/>
      <c r="Q102" s="356"/>
      <c r="R102" s="102"/>
      <c r="V102" s="253" t="s">
        <v>38</v>
      </c>
      <c r="W102" s="253" t="s">
        <v>35</v>
      </c>
      <c r="X102" s="253" t="s">
        <v>39</v>
      </c>
      <c r="Y102" s="275" t="s">
        <v>34</v>
      </c>
      <c r="Z102" s="275" t="s">
        <v>36</v>
      </c>
      <c r="AA102" s="275" t="s">
        <v>40</v>
      </c>
      <c r="AB102" s="275" t="s">
        <v>41</v>
      </c>
      <c r="AC102" s="264"/>
      <c r="AD102" s="253" t="s">
        <v>38</v>
      </c>
      <c r="AE102" s="253" t="s">
        <v>35</v>
      </c>
      <c r="AF102" s="253" t="s">
        <v>39</v>
      </c>
      <c r="AG102" s="275" t="s">
        <v>34</v>
      </c>
      <c r="AH102" s="275" t="s">
        <v>36</v>
      </c>
      <c r="AI102" s="275" t="s">
        <v>40</v>
      </c>
      <c r="AJ102" s="275" t="s">
        <v>41</v>
      </c>
      <c r="AK102" s="264"/>
      <c r="AL102" s="253" t="s">
        <v>38</v>
      </c>
      <c r="AM102" s="276" t="s">
        <v>35</v>
      </c>
      <c r="AN102" s="276" t="s">
        <v>39</v>
      </c>
      <c r="AO102" s="275" t="s">
        <v>34</v>
      </c>
      <c r="AP102" s="275" t="s">
        <v>36</v>
      </c>
      <c r="AQ102" s="275" t="s">
        <v>40</v>
      </c>
      <c r="AR102" s="275" t="s">
        <v>41</v>
      </c>
    </row>
    <row r="103" spans="1:44" ht="30" customHeight="1">
      <c r="A103" s="513"/>
      <c r="B103" s="549"/>
      <c r="C103" s="560"/>
      <c r="D103" s="567"/>
      <c r="E103" s="51" t="s">
        <v>1789</v>
      </c>
      <c r="F103" s="456" t="s">
        <v>424</v>
      </c>
      <c r="G103" s="38" t="s">
        <v>425</v>
      </c>
      <c r="H103" s="38" t="s">
        <v>955</v>
      </c>
      <c r="I103" s="38" t="s">
        <v>427</v>
      </c>
      <c r="J103" s="42" t="s">
        <v>428</v>
      </c>
      <c r="K103" s="38" t="s">
        <v>429</v>
      </c>
      <c r="L103" s="46" t="s">
        <v>1618</v>
      </c>
      <c r="M103" s="456" t="s">
        <v>332</v>
      </c>
      <c r="N103" s="77" t="s">
        <v>431</v>
      </c>
      <c r="O103" s="412"/>
      <c r="P103" s="419" t="s">
        <v>588</v>
      </c>
      <c r="Q103" s="395" t="s">
        <v>864</v>
      </c>
      <c r="R103" s="102"/>
      <c r="V103" s="274"/>
      <c r="W103" s="256">
        <f t="shared" ref="W103:AB103" si="89">COUNTIF($E102:$N102,W102)</f>
        <v>10</v>
      </c>
      <c r="X103" s="256">
        <f t="shared" si="89"/>
        <v>0</v>
      </c>
      <c r="Y103" s="256">
        <f t="shared" si="89"/>
        <v>0</v>
      </c>
      <c r="Z103" s="256">
        <f t="shared" si="89"/>
        <v>0</v>
      </c>
      <c r="AA103" s="256">
        <f t="shared" si="89"/>
        <v>0</v>
      </c>
      <c r="AB103" s="256">
        <f t="shared" si="89"/>
        <v>0</v>
      </c>
      <c r="AC103" s="264"/>
      <c r="AD103" s="274"/>
      <c r="AE103" s="256" t="e">
        <f ca="1">colorcount($E103:$N103,$S$3)+colorcount($E103:$N103,$S$4)+colorcount($E103:$N103,$S$5)+colorcount($E103:$N103,$S$6)+colorcount($E103:$N103,$S$7)+colorcount($E103:$N103,$S$9)+colorcount($E103:$N103,$S$10)+colorcount($E103:$N103,$S$11)+colorcount($E103:$N103,$S$12)</f>
        <v>#NAME?</v>
      </c>
      <c r="AF103" s="256" t="e">
        <f ca="1">colorcount($E103:$N103,$S$15)</f>
        <v>#NAME?</v>
      </c>
      <c r="AG103" s="256" t="e">
        <f ca="1">colorcount($E103:$N103,$S$17)+colorcount($E103:$N103,$S$18)+colorcount($E103:$N103,$S$19)+colorcount($E103:$N103,$S$20)+colorcount($E103:$N103,$S$21)</f>
        <v>#NAME?</v>
      </c>
      <c r="AH103" s="256" t="e">
        <f ca="1">colorcount($E103:$N103,$S$23)</f>
        <v>#NAME?</v>
      </c>
      <c r="AI103" s="256" t="e">
        <f ca="1">colorcount($E103:$N103,$S$26)</f>
        <v>#NAME?</v>
      </c>
      <c r="AJ103" s="256" t="e">
        <f ca="1">colorcount($E103:$N103,$S$28)</f>
        <v>#NAME?</v>
      </c>
      <c r="AK103" s="264"/>
      <c r="AL103" s="274"/>
      <c r="AM103" s="277" t="e">
        <f t="shared" ref="AM103:AR103" ca="1" si="90">IF(W103=AE103,"O","X")</f>
        <v>#NAME?</v>
      </c>
      <c r="AN103" s="277" t="e">
        <f t="shared" ca="1" si="90"/>
        <v>#NAME?</v>
      </c>
      <c r="AO103" s="277" t="e">
        <f t="shared" ca="1" si="90"/>
        <v>#NAME?</v>
      </c>
      <c r="AP103" s="277" t="e">
        <f t="shared" ca="1" si="90"/>
        <v>#NAME?</v>
      </c>
      <c r="AQ103" s="277" t="e">
        <f t="shared" ca="1" si="90"/>
        <v>#NAME?</v>
      </c>
      <c r="AR103" s="277" t="e">
        <f t="shared" ca="1" si="90"/>
        <v>#NAME?</v>
      </c>
    </row>
    <row r="104" spans="1:44" ht="14.1" customHeight="1">
      <c r="A104" s="513" t="s">
        <v>432</v>
      </c>
      <c r="B104" s="546" t="s">
        <v>433</v>
      </c>
      <c r="C104" s="560"/>
      <c r="D104" s="567"/>
      <c r="E104" s="363" t="s">
        <v>34</v>
      </c>
      <c r="F104" s="215" t="s">
        <v>35</v>
      </c>
      <c r="G104" s="215" t="s">
        <v>35</v>
      </c>
      <c r="H104" s="215" t="s">
        <v>39</v>
      </c>
      <c r="I104" s="215" t="s">
        <v>34</v>
      </c>
      <c r="J104" s="219" t="s">
        <v>35</v>
      </c>
      <c r="K104" s="215" t="s">
        <v>35</v>
      </c>
      <c r="L104" s="215" t="s">
        <v>39</v>
      </c>
      <c r="M104" s="215" t="s">
        <v>35</v>
      </c>
      <c r="N104" s="279" t="s">
        <v>35</v>
      </c>
      <c r="O104" s="352"/>
      <c r="P104" s="353"/>
      <c r="Q104" s="356"/>
      <c r="R104" s="102"/>
      <c r="V104" s="253" t="s">
        <v>38</v>
      </c>
      <c r="W104" s="253" t="s">
        <v>35</v>
      </c>
      <c r="X104" s="253" t="s">
        <v>39</v>
      </c>
      <c r="Y104" s="275" t="s">
        <v>34</v>
      </c>
      <c r="Z104" s="275" t="s">
        <v>36</v>
      </c>
      <c r="AA104" s="275" t="s">
        <v>40</v>
      </c>
      <c r="AB104" s="275" t="s">
        <v>41</v>
      </c>
      <c r="AC104" s="264"/>
      <c r="AD104" s="253" t="s">
        <v>38</v>
      </c>
      <c r="AE104" s="253" t="s">
        <v>35</v>
      </c>
      <c r="AF104" s="253" t="s">
        <v>39</v>
      </c>
      <c r="AG104" s="275" t="s">
        <v>34</v>
      </c>
      <c r="AH104" s="275" t="s">
        <v>36</v>
      </c>
      <c r="AI104" s="275" t="s">
        <v>40</v>
      </c>
      <c r="AJ104" s="275" t="s">
        <v>41</v>
      </c>
      <c r="AK104" s="264"/>
      <c r="AL104" s="253" t="s">
        <v>38</v>
      </c>
      <c r="AM104" s="276" t="s">
        <v>35</v>
      </c>
      <c r="AN104" s="276" t="s">
        <v>39</v>
      </c>
      <c r="AO104" s="275" t="s">
        <v>34</v>
      </c>
      <c r="AP104" s="275" t="s">
        <v>36</v>
      </c>
      <c r="AQ104" s="275" t="s">
        <v>40</v>
      </c>
      <c r="AR104" s="275" t="s">
        <v>41</v>
      </c>
    </row>
    <row r="105" spans="1:44" ht="30" customHeight="1">
      <c r="A105" s="513"/>
      <c r="B105" s="546"/>
      <c r="C105" s="560"/>
      <c r="D105" s="567"/>
      <c r="E105" s="56" t="s">
        <v>103</v>
      </c>
      <c r="F105" s="38" t="s">
        <v>434</v>
      </c>
      <c r="G105" s="46" t="s">
        <v>1659</v>
      </c>
      <c r="H105" s="249" t="s">
        <v>172</v>
      </c>
      <c r="I105" s="57" t="s">
        <v>1550</v>
      </c>
      <c r="J105" s="46" t="s">
        <v>1668</v>
      </c>
      <c r="K105" s="38" t="s">
        <v>436</v>
      </c>
      <c r="L105" s="221" t="s">
        <v>59</v>
      </c>
      <c r="M105" s="38" t="s">
        <v>286</v>
      </c>
      <c r="N105" s="77" t="s">
        <v>437</v>
      </c>
      <c r="O105" s="408"/>
      <c r="P105" s="430" t="s">
        <v>193</v>
      </c>
      <c r="Q105" s="395" t="s">
        <v>864</v>
      </c>
      <c r="R105" s="102"/>
      <c r="V105" s="274" t="s">
        <v>433</v>
      </c>
      <c r="W105" s="256">
        <f t="shared" ref="W105:AB105" si="91">COUNTIF($E104:$N104,W104)</f>
        <v>6</v>
      </c>
      <c r="X105" s="256">
        <f t="shared" si="91"/>
        <v>2</v>
      </c>
      <c r="Y105" s="256">
        <f t="shared" si="91"/>
        <v>2</v>
      </c>
      <c r="Z105" s="256">
        <f t="shared" si="91"/>
        <v>0</v>
      </c>
      <c r="AA105" s="256">
        <f t="shared" si="91"/>
        <v>0</v>
      </c>
      <c r="AB105" s="256">
        <f t="shared" si="91"/>
        <v>0</v>
      </c>
      <c r="AC105" s="264"/>
      <c r="AD105" s="274" t="s">
        <v>433</v>
      </c>
      <c r="AE105" s="256" t="e">
        <f ca="1">colorcount($E105:$N105,$S$3)+colorcount($E105:$N105,$S$4)+colorcount($E105:$N105,$S$5)+colorcount($E105:$N105,$S$6)+colorcount($E105:$N105,$S$7)+colorcount($E105:$N105,$S$9)+colorcount($E105:$N105,$S$10)+colorcount($E105:$N105,$S$11)+colorcount($E105:$N105,$S$12)</f>
        <v>#NAME?</v>
      </c>
      <c r="AF105" s="256" t="e">
        <f ca="1">colorcount($E105:$N105,$S$15)</f>
        <v>#NAME?</v>
      </c>
      <c r="AG105" s="256" t="e">
        <f ca="1">colorcount($E105:$N105,$S$17)+colorcount($E105:$N105,$S$18)+colorcount($E105:$N105,$S$19)+colorcount($E105:$N105,$S$20)+colorcount($E105:$N105,$S$21)</f>
        <v>#NAME?</v>
      </c>
      <c r="AH105" s="256" t="e">
        <f ca="1">colorcount($E105:$N105,$S$23)</f>
        <v>#NAME?</v>
      </c>
      <c r="AI105" s="256" t="e">
        <f ca="1">colorcount($E105:$N105,$S$26)</f>
        <v>#NAME?</v>
      </c>
      <c r="AJ105" s="256" t="e">
        <f ca="1">colorcount($E105:$N105,$S$28)</f>
        <v>#NAME?</v>
      </c>
      <c r="AK105" s="264"/>
      <c r="AL105" s="274" t="s">
        <v>433</v>
      </c>
      <c r="AM105" s="277" t="e">
        <f t="shared" ref="AM105:AR105" ca="1" si="92">IF(W105=AE105,"O","X")</f>
        <v>#NAME?</v>
      </c>
      <c r="AN105" s="277" t="e">
        <f t="shared" ca="1" si="92"/>
        <v>#NAME?</v>
      </c>
      <c r="AO105" s="277" t="e">
        <f t="shared" ca="1" si="92"/>
        <v>#NAME?</v>
      </c>
      <c r="AP105" s="277" t="e">
        <f t="shared" ca="1" si="92"/>
        <v>#NAME?</v>
      </c>
      <c r="AQ105" s="277" t="e">
        <f t="shared" ca="1" si="92"/>
        <v>#NAME?</v>
      </c>
      <c r="AR105" s="277" t="e">
        <f t="shared" ca="1" si="92"/>
        <v>#NAME?</v>
      </c>
    </row>
    <row r="106" spans="1:44" ht="14.1" customHeight="1">
      <c r="A106" s="513" t="s">
        <v>439</v>
      </c>
      <c r="B106" s="551" t="s">
        <v>440</v>
      </c>
      <c r="C106" s="560"/>
      <c r="D106" s="567"/>
      <c r="E106" s="363" t="s">
        <v>35</v>
      </c>
      <c r="F106" s="215" t="s">
        <v>35</v>
      </c>
      <c r="G106" s="219" t="s">
        <v>35</v>
      </c>
      <c r="H106" s="215" t="s">
        <v>35</v>
      </c>
      <c r="I106" s="215" t="s">
        <v>39</v>
      </c>
      <c r="J106" s="215" t="s">
        <v>35</v>
      </c>
      <c r="K106" s="215" t="s">
        <v>35</v>
      </c>
      <c r="L106" s="215" t="s">
        <v>35</v>
      </c>
      <c r="M106" s="215" t="s">
        <v>35</v>
      </c>
      <c r="N106" s="241" t="s">
        <v>35</v>
      </c>
      <c r="O106" s="352"/>
      <c r="P106" s="353"/>
      <c r="Q106" s="431"/>
      <c r="R106" s="102"/>
      <c r="V106" s="253" t="s">
        <v>38</v>
      </c>
      <c r="W106" s="253" t="s">
        <v>35</v>
      </c>
      <c r="X106" s="253" t="s">
        <v>39</v>
      </c>
      <c r="Y106" s="275" t="s">
        <v>34</v>
      </c>
      <c r="Z106" s="275" t="s">
        <v>36</v>
      </c>
      <c r="AA106" s="275" t="s">
        <v>40</v>
      </c>
      <c r="AB106" s="275" t="s">
        <v>41</v>
      </c>
      <c r="AC106" s="264"/>
      <c r="AD106" s="253" t="s">
        <v>38</v>
      </c>
      <c r="AE106" s="253" t="s">
        <v>35</v>
      </c>
      <c r="AF106" s="253" t="s">
        <v>39</v>
      </c>
      <c r="AG106" s="275" t="s">
        <v>34</v>
      </c>
      <c r="AH106" s="275" t="s">
        <v>36</v>
      </c>
      <c r="AI106" s="275" t="s">
        <v>40</v>
      </c>
      <c r="AJ106" s="275" t="s">
        <v>41</v>
      </c>
      <c r="AK106" s="264"/>
      <c r="AL106" s="253" t="s">
        <v>38</v>
      </c>
      <c r="AM106" s="276" t="s">
        <v>35</v>
      </c>
      <c r="AN106" s="276" t="s">
        <v>39</v>
      </c>
      <c r="AO106" s="275" t="s">
        <v>34</v>
      </c>
      <c r="AP106" s="275" t="s">
        <v>36</v>
      </c>
      <c r="AQ106" s="275" t="s">
        <v>40</v>
      </c>
      <c r="AR106" s="275" t="s">
        <v>41</v>
      </c>
    </row>
    <row r="107" spans="1:44" ht="30" customHeight="1">
      <c r="A107" s="513"/>
      <c r="B107" s="551"/>
      <c r="C107" s="560"/>
      <c r="D107" s="567"/>
      <c r="E107" s="37" t="s">
        <v>441</v>
      </c>
      <c r="F107" s="38" t="s">
        <v>442</v>
      </c>
      <c r="G107" s="46" t="s">
        <v>1667</v>
      </c>
      <c r="H107" s="38" t="s">
        <v>443</v>
      </c>
      <c r="I107" s="221" t="s">
        <v>58</v>
      </c>
      <c r="J107" s="38" t="s">
        <v>444</v>
      </c>
      <c r="K107" s="40" t="s">
        <v>445</v>
      </c>
      <c r="L107" s="38" t="s">
        <v>446</v>
      </c>
      <c r="M107" s="46" t="s">
        <v>1641</v>
      </c>
      <c r="N107" s="77" t="s">
        <v>447</v>
      </c>
      <c r="O107" s="408"/>
      <c r="P107" s="419" t="s">
        <v>963</v>
      </c>
      <c r="Q107" s="395" t="s">
        <v>864</v>
      </c>
      <c r="R107" s="102"/>
      <c r="V107" s="274" t="s">
        <v>440</v>
      </c>
      <c r="W107" s="256">
        <f>COUNTIF($E106:$N106,W106)</f>
        <v>9</v>
      </c>
      <c r="X107" s="256">
        <f>COUNTIF($F106:$N106,X106)</f>
        <v>1</v>
      </c>
      <c r="Y107" s="256">
        <f>COUNTIF($F106:$N106,Y106)</f>
        <v>0</v>
      </c>
      <c r="Z107" s="256">
        <f>COUNTIF($F106:$N106,Z106)</f>
        <v>0</v>
      </c>
      <c r="AA107" s="256">
        <f>COUNTIF($F106:$N106,AA106)</f>
        <v>0</v>
      </c>
      <c r="AB107" s="256">
        <f>COUNTIF($F106:$N106,AB106)</f>
        <v>0</v>
      </c>
      <c r="AC107" s="264"/>
      <c r="AD107" s="274" t="s">
        <v>440</v>
      </c>
      <c r="AE107" s="256" t="e">
        <f ca="1">colorcount($E107:$N107,$S$3)+colorcount($E107:$N107,$S$4)+colorcount($E107:$N107,$S$5)+colorcount($E107:$N107,$S$6)+colorcount($E107:$N107,$S$7)+colorcount($E107:$N107,$S$9)+colorcount($E107:$N107,$S$10)+colorcount($E107:$N107,$S$11)+colorcount($E107:$N107,$S$12)</f>
        <v>#NAME?</v>
      </c>
      <c r="AF107" s="256" t="e">
        <f ca="1">colorcount($E107:$N107,$S$15)</f>
        <v>#NAME?</v>
      </c>
      <c r="AG107" s="256" t="e">
        <f ca="1">colorcount($E107:$N107,$S$17)+colorcount($E107:$N107,$S$18)+colorcount($E107:$N107,$S$19)+colorcount($E107:$N107,$S$20)+colorcount($E107:$N107,$S$21)</f>
        <v>#NAME?</v>
      </c>
      <c r="AH107" s="256" t="e">
        <f ca="1">colorcount($E107:$N107,$S$23)</f>
        <v>#NAME?</v>
      </c>
      <c r="AI107" s="256" t="e">
        <f ca="1">colorcount($E107:$N107,$S$26)</f>
        <v>#NAME?</v>
      </c>
      <c r="AJ107" s="256" t="e">
        <f ca="1">colorcount($E107:$N107,$S$28)</f>
        <v>#NAME?</v>
      </c>
      <c r="AK107" s="264"/>
      <c r="AL107" s="274" t="s">
        <v>440</v>
      </c>
      <c r="AM107" s="277" t="e">
        <f t="shared" ref="AM107:AR107" ca="1" si="93">IF(W107=AE107,"O","X")</f>
        <v>#NAME?</v>
      </c>
      <c r="AN107" s="277" t="e">
        <f t="shared" ca="1" si="93"/>
        <v>#NAME?</v>
      </c>
      <c r="AO107" s="277" t="e">
        <f t="shared" ca="1" si="93"/>
        <v>#NAME?</v>
      </c>
      <c r="AP107" s="277" t="e">
        <f t="shared" ca="1" si="93"/>
        <v>#NAME?</v>
      </c>
      <c r="AQ107" s="277" t="e">
        <f t="shared" ca="1" si="93"/>
        <v>#NAME?</v>
      </c>
      <c r="AR107" s="277" t="e">
        <f t="shared" ca="1" si="93"/>
        <v>#NAME?</v>
      </c>
    </row>
    <row r="108" spans="1:44" ht="14.1" customHeight="1">
      <c r="A108" s="513" t="s">
        <v>448</v>
      </c>
      <c r="B108" s="552" t="s">
        <v>449</v>
      </c>
      <c r="C108" s="560"/>
      <c r="D108" s="567"/>
      <c r="E108" s="370" t="s">
        <v>35</v>
      </c>
      <c r="F108" s="240" t="s">
        <v>35</v>
      </c>
      <c r="G108" s="240" t="s">
        <v>35</v>
      </c>
      <c r="H108" s="215" t="s">
        <v>39</v>
      </c>
      <c r="I108" s="240" t="s">
        <v>35</v>
      </c>
      <c r="J108" s="240" t="s">
        <v>35</v>
      </c>
      <c r="K108" s="240" t="s">
        <v>35</v>
      </c>
      <c r="L108" s="240" t="s">
        <v>35</v>
      </c>
      <c r="M108" s="215" t="s">
        <v>35</v>
      </c>
      <c r="N108" s="241" t="s">
        <v>35</v>
      </c>
      <c r="O108" s="352"/>
      <c r="P108" s="432"/>
      <c r="Q108" s="431"/>
      <c r="R108" s="102"/>
      <c r="V108" s="253" t="s">
        <v>38</v>
      </c>
      <c r="W108" s="253" t="s">
        <v>35</v>
      </c>
      <c r="X108" s="253" t="s">
        <v>39</v>
      </c>
      <c r="Y108" s="275" t="s">
        <v>34</v>
      </c>
      <c r="Z108" s="275" t="s">
        <v>36</v>
      </c>
      <c r="AA108" s="275" t="s">
        <v>40</v>
      </c>
      <c r="AB108" s="275" t="s">
        <v>41</v>
      </c>
      <c r="AC108" s="264"/>
      <c r="AD108" s="253" t="s">
        <v>38</v>
      </c>
      <c r="AE108" s="253" t="s">
        <v>35</v>
      </c>
      <c r="AF108" s="253" t="s">
        <v>39</v>
      </c>
      <c r="AG108" s="275" t="s">
        <v>34</v>
      </c>
      <c r="AH108" s="275" t="s">
        <v>36</v>
      </c>
      <c r="AI108" s="275" t="s">
        <v>40</v>
      </c>
      <c r="AJ108" s="275" t="s">
        <v>41</v>
      </c>
      <c r="AK108" s="264"/>
      <c r="AL108" s="253" t="s">
        <v>38</v>
      </c>
      <c r="AM108" s="276" t="s">
        <v>35</v>
      </c>
      <c r="AN108" s="276" t="s">
        <v>39</v>
      </c>
      <c r="AO108" s="275" t="s">
        <v>34</v>
      </c>
      <c r="AP108" s="275" t="s">
        <v>36</v>
      </c>
      <c r="AQ108" s="275" t="s">
        <v>40</v>
      </c>
      <c r="AR108" s="275" t="s">
        <v>41</v>
      </c>
    </row>
    <row r="109" spans="1:44" ht="30" customHeight="1">
      <c r="A109" s="513"/>
      <c r="B109" s="552"/>
      <c r="C109" s="560"/>
      <c r="D109" s="567"/>
      <c r="E109" s="37" t="s">
        <v>450</v>
      </c>
      <c r="F109" s="38" t="s">
        <v>451</v>
      </c>
      <c r="G109" s="38" t="s">
        <v>452</v>
      </c>
      <c r="H109" s="221" t="s">
        <v>235</v>
      </c>
      <c r="I109" s="38" t="s">
        <v>453</v>
      </c>
      <c r="J109" s="456" t="s">
        <v>454</v>
      </c>
      <c r="K109" s="38" t="s">
        <v>455</v>
      </c>
      <c r="L109" s="38" t="s">
        <v>456</v>
      </c>
      <c r="M109" s="46" t="s">
        <v>1630</v>
      </c>
      <c r="N109" s="82" t="s">
        <v>1614</v>
      </c>
      <c r="O109" s="408"/>
      <c r="P109" s="419" t="s">
        <v>107</v>
      </c>
      <c r="Q109" s="395" t="s">
        <v>864</v>
      </c>
      <c r="R109" s="102"/>
      <c r="V109" s="274" t="s">
        <v>449</v>
      </c>
      <c r="W109" s="256">
        <f t="shared" ref="W109:AB109" si="94">COUNTIF($E108:$N108,W108)</f>
        <v>9</v>
      </c>
      <c r="X109" s="256">
        <f t="shared" si="94"/>
        <v>1</v>
      </c>
      <c r="Y109" s="256">
        <f t="shared" si="94"/>
        <v>0</v>
      </c>
      <c r="Z109" s="256">
        <f t="shared" si="94"/>
        <v>0</v>
      </c>
      <c r="AA109" s="256">
        <f t="shared" si="94"/>
        <v>0</v>
      </c>
      <c r="AB109" s="256">
        <f t="shared" si="94"/>
        <v>0</v>
      </c>
      <c r="AC109" s="264"/>
      <c r="AD109" s="274" t="s">
        <v>449</v>
      </c>
      <c r="AE109" s="256" t="e">
        <f ca="1">colorcount($E109:$N109,$S$3)+colorcount($E109:$N109,$S$4)+colorcount($E109:$N109,$S$5)+colorcount($E109:$N109,$S$6)+colorcount($E109:$N109,$S$7)+colorcount($E109:$N109,$S$9)+colorcount($E109:$N109,$S$10)+colorcount($E109:$N109,$S$11)+colorcount($E109:$N109,$S$12)</f>
        <v>#NAME?</v>
      </c>
      <c r="AF109" s="256" t="e">
        <f ca="1">colorcount($E109:$N109,$S$15)</f>
        <v>#NAME?</v>
      </c>
      <c r="AG109" s="256" t="e">
        <f ca="1">colorcount($E109:$N109,$S$17)+colorcount($E109:$N109,$S$18)+colorcount($E109:$N109,$S$19)+colorcount($E109:$N109,$S$20)+colorcount($E109:$N109,$S$21)</f>
        <v>#NAME?</v>
      </c>
      <c r="AH109" s="256" t="e">
        <f ca="1">colorcount($E109:$N109,$S$23)</f>
        <v>#NAME?</v>
      </c>
      <c r="AI109" s="256" t="e">
        <f ca="1">colorcount($E109:$N109,$S$26)</f>
        <v>#NAME?</v>
      </c>
      <c r="AJ109" s="256" t="e">
        <f ca="1">colorcount($E109:$N109,$S$28)</f>
        <v>#NAME?</v>
      </c>
      <c r="AK109" s="264"/>
      <c r="AL109" s="274" t="s">
        <v>449</v>
      </c>
      <c r="AM109" s="277" t="e">
        <f t="shared" ref="AM109:AR109" ca="1" si="95">IF(W109=AE109,"O","X")</f>
        <v>#NAME?</v>
      </c>
      <c r="AN109" s="277" t="e">
        <f t="shared" ca="1" si="95"/>
        <v>#NAME?</v>
      </c>
      <c r="AO109" s="277" t="e">
        <f t="shared" ca="1" si="95"/>
        <v>#NAME?</v>
      </c>
      <c r="AP109" s="277" t="e">
        <f t="shared" ca="1" si="95"/>
        <v>#NAME?</v>
      </c>
      <c r="AQ109" s="277" t="e">
        <f t="shared" ca="1" si="95"/>
        <v>#NAME?</v>
      </c>
      <c r="AR109" s="277" t="e">
        <f t="shared" ca="1" si="95"/>
        <v>#NAME?</v>
      </c>
    </row>
    <row r="110" spans="1:44" ht="14.1" customHeight="1">
      <c r="A110" s="513" t="s">
        <v>457</v>
      </c>
      <c r="B110" s="553" t="s">
        <v>458</v>
      </c>
      <c r="C110" s="560"/>
      <c r="D110" s="567"/>
      <c r="E110" s="363" t="s">
        <v>35</v>
      </c>
      <c r="F110" s="215" t="s">
        <v>35</v>
      </c>
      <c r="G110" s="215" t="s">
        <v>35</v>
      </c>
      <c r="H110" s="215" t="s">
        <v>35</v>
      </c>
      <c r="I110" s="215" t="s">
        <v>35</v>
      </c>
      <c r="J110" s="215" t="s">
        <v>39</v>
      </c>
      <c r="K110" s="215" t="s">
        <v>35</v>
      </c>
      <c r="L110" s="215" t="s">
        <v>35</v>
      </c>
      <c r="M110" s="215" t="s">
        <v>35</v>
      </c>
      <c r="N110" s="241" t="s">
        <v>35</v>
      </c>
      <c r="O110" s="352"/>
      <c r="P110" s="353"/>
      <c r="Q110" s="356"/>
      <c r="R110" s="102"/>
      <c r="V110" s="253" t="s">
        <v>38</v>
      </c>
      <c r="W110" s="253" t="s">
        <v>35</v>
      </c>
      <c r="X110" s="253" t="s">
        <v>39</v>
      </c>
      <c r="Y110" s="275" t="s">
        <v>34</v>
      </c>
      <c r="Z110" s="275" t="s">
        <v>36</v>
      </c>
      <c r="AA110" s="275" t="s">
        <v>40</v>
      </c>
      <c r="AB110" s="275" t="s">
        <v>41</v>
      </c>
      <c r="AC110" s="264"/>
      <c r="AD110" s="253" t="s">
        <v>38</v>
      </c>
      <c r="AE110" s="253" t="s">
        <v>35</v>
      </c>
      <c r="AF110" s="253" t="s">
        <v>39</v>
      </c>
      <c r="AG110" s="275" t="s">
        <v>34</v>
      </c>
      <c r="AH110" s="275" t="s">
        <v>36</v>
      </c>
      <c r="AI110" s="275" t="s">
        <v>40</v>
      </c>
      <c r="AJ110" s="275" t="s">
        <v>41</v>
      </c>
      <c r="AK110" s="264"/>
      <c r="AL110" s="253" t="s">
        <v>38</v>
      </c>
      <c r="AM110" s="276" t="s">
        <v>35</v>
      </c>
      <c r="AN110" s="276" t="s">
        <v>39</v>
      </c>
      <c r="AO110" s="275" t="s">
        <v>34</v>
      </c>
      <c r="AP110" s="275" t="s">
        <v>36</v>
      </c>
      <c r="AQ110" s="275" t="s">
        <v>40</v>
      </c>
      <c r="AR110" s="275" t="s">
        <v>41</v>
      </c>
    </row>
    <row r="111" spans="1:44" ht="30" customHeight="1">
      <c r="A111" s="513"/>
      <c r="B111" s="553"/>
      <c r="C111" s="560"/>
      <c r="D111" s="567"/>
      <c r="E111" s="37" t="s">
        <v>1581</v>
      </c>
      <c r="F111" s="43" t="s">
        <v>459</v>
      </c>
      <c r="G111" s="42" t="s">
        <v>460</v>
      </c>
      <c r="H111" s="38" t="s">
        <v>461</v>
      </c>
      <c r="I111" s="38" t="s">
        <v>462</v>
      </c>
      <c r="J111" s="221" t="s">
        <v>235</v>
      </c>
      <c r="K111" s="38" t="s">
        <v>463</v>
      </c>
      <c r="L111" s="38" t="s">
        <v>464</v>
      </c>
      <c r="M111" s="43" t="s">
        <v>465</v>
      </c>
      <c r="N111" s="82" t="s">
        <v>1624</v>
      </c>
      <c r="O111" s="408"/>
      <c r="P111" s="419" t="s">
        <v>913</v>
      </c>
      <c r="Q111" s="395" t="s">
        <v>864</v>
      </c>
      <c r="R111" s="102"/>
      <c r="V111" s="274" t="s">
        <v>458</v>
      </c>
      <c r="W111" s="256">
        <f t="shared" ref="W111:AB111" si="96">COUNTIF($E110:$N110,W110)</f>
        <v>9</v>
      </c>
      <c r="X111" s="256">
        <f t="shared" si="96"/>
        <v>1</v>
      </c>
      <c r="Y111" s="256">
        <f t="shared" si="96"/>
        <v>0</v>
      </c>
      <c r="Z111" s="256">
        <f t="shared" si="96"/>
        <v>0</v>
      </c>
      <c r="AA111" s="256">
        <f t="shared" si="96"/>
        <v>0</v>
      </c>
      <c r="AB111" s="256">
        <f t="shared" si="96"/>
        <v>0</v>
      </c>
      <c r="AC111" s="264"/>
      <c r="AD111" s="274" t="s">
        <v>458</v>
      </c>
      <c r="AE111" s="256" t="e">
        <f ca="1">colorcount($E111:$N111,$S$3)+colorcount($E111:$N111,$S$4)+colorcount($E111:$N111,$S$5)+colorcount($E111:$N111,$S$6)+colorcount($E111:$N111,$S$7)+colorcount($E111:$N111,$S$9)+colorcount($E111:$N111,$S$10)+colorcount($E111:$N111,$S$11)+colorcount($E111:$N111,$S$12)</f>
        <v>#NAME?</v>
      </c>
      <c r="AF111" s="256" t="e">
        <f ca="1">colorcount($E111:$N111,$S$15)</f>
        <v>#NAME?</v>
      </c>
      <c r="AG111" s="256" t="e">
        <f ca="1">colorcount($E111:$N111,$S$17)+colorcount($E111:$N111,$S$18)+colorcount($E111:$N111,$S$19)+colorcount($E111:$N111,$S$20)+colorcount($E111:$N111,$S$21)</f>
        <v>#NAME?</v>
      </c>
      <c r="AH111" s="256" t="e">
        <f ca="1">colorcount($E111:$N111,$S$23)</f>
        <v>#NAME?</v>
      </c>
      <c r="AI111" s="256" t="e">
        <f ca="1">colorcount($E111:$N111,$S$26)</f>
        <v>#NAME?</v>
      </c>
      <c r="AJ111" s="256" t="e">
        <f ca="1">colorcount($E111:$N111,$S$28)</f>
        <v>#NAME?</v>
      </c>
      <c r="AK111" s="264"/>
      <c r="AL111" s="274" t="s">
        <v>458</v>
      </c>
      <c r="AM111" s="277" t="e">
        <f t="shared" ref="AM111:AR111" ca="1" si="97">IF(W111=AE111,"O","X")</f>
        <v>#NAME?</v>
      </c>
      <c r="AN111" s="277" t="e">
        <f t="shared" ca="1" si="97"/>
        <v>#NAME?</v>
      </c>
      <c r="AO111" s="277" t="e">
        <f t="shared" ca="1" si="97"/>
        <v>#NAME?</v>
      </c>
      <c r="AP111" s="277" t="e">
        <f t="shared" ca="1" si="97"/>
        <v>#NAME?</v>
      </c>
      <c r="AQ111" s="277" t="e">
        <f t="shared" ca="1" si="97"/>
        <v>#NAME?</v>
      </c>
      <c r="AR111" s="277" t="e">
        <f t="shared" ca="1" si="97"/>
        <v>#NAME?</v>
      </c>
    </row>
    <row r="112" spans="1:44" ht="14.1" customHeight="1">
      <c r="A112" s="513" t="s">
        <v>467</v>
      </c>
      <c r="B112" s="549" t="s">
        <v>468</v>
      </c>
      <c r="C112" s="560"/>
      <c r="D112" s="567"/>
      <c r="E112" s="363" t="s">
        <v>35</v>
      </c>
      <c r="F112" s="215" t="s">
        <v>35</v>
      </c>
      <c r="G112" s="215" t="s">
        <v>35</v>
      </c>
      <c r="H112" s="215" t="s">
        <v>35</v>
      </c>
      <c r="I112" s="215" t="s">
        <v>35</v>
      </c>
      <c r="J112" s="215" t="s">
        <v>35</v>
      </c>
      <c r="K112" s="215" t="s">
        <v>35</v>
      </c>
      <c r="L112" s="215" t="s">
        <v>35</v>
      </c>
      <c r="M112" s="215" t="s">
        <v>35</v>
      </c>
      <c r="N112" s="241" t="s">
        <v>35</v>
      </c>
      <c r="O112" s="352"/>
      <c r="P112" s="353"/>
      <c r="Q112" s="356"/>
      <c r="R112" s="102"/>
      <c r="V112" s="253" t="s">
        <v>38</v>
      </c>
      <c r="W112" s="253" t="s">
        <v>35</v>
      </c>
      <c r="X112" s="253" t="s">
        <v>39</v>
      </c>
      <c r="Y112" s="275" t="s">
        <v>34</v>
      </c>
      <c r="Z112" s="275" t="s">
        <v>36</v>
      </c>
      <c r="AA112" s="275" t="s">
        <v>40</v>
      </c>
      <c r="AB112" s="275" t="s">
        <v>41</v>
      </c>
      <c r="AC112" s="264"/>
      <c r="AD112" s="253" t="s">
        <v>38</v>
      </c>
      <c r="AE112" s="253" t="s">
        <v>35</v>
      </c>
      <c r="AF112" s="253" t="s">
        <v>39</v>
      </c>
      <c r="AG112" s="275" t="s">
        <v>34</v>
      </c>
      <c r="AH112" s="275" t="s">
        <v>36</v>
      </c>
      <c r="AI112" s="275" t="s">
        <v>40</v>
      </c>
      <c r="AJ112" s="275" t="s">
        <v>41</v>
      </c>
      <c r="AK112" s="264"/>
      <c r="AL112" s="253" t="s">
        <v>38</v>
      </c>
      <c r="AM112" s="276" t="s">
        <v>35</v>
      </c>
      <c r="AN112" s="276" t="s">
        <v>39</v>
      </c>
      <c r="AO112" s="275" t="s">
        <v>34</v>
      </c>
      <c r="AP112" s="275" t="s">
        <v>36</v>
      </c>
      <c r="AQ112" s="275" t="s">
        <v>40</v>
      </c>
      <c r="AR112" s="275" t="s">
        <v>41</v>
      </c>
    </row>
    <row r="113" spans="1:44" ht="30" customHeight="1">
      <c r="A113" s="513"/>
      <c r="B113" s="549"/>
      <c r="C113" s="560"/>
      <c r="D113" s="567"/>
      <c r="E113" s="149" t="s">
        <v>469</v>
      </c>
      <c r="F113" s="42" t="s">
        <v>470</v>
      </c>
      <c r="G113" s="42" t="s">
        <v>471</v>
      </c>
      <c r="H113" s="42" t="s">
        <v>408</v>
      </c>
      <c r="I113" s="42" t="s">
        <v>472</v>
      </c>
      <c r="J113" s="43" t="s">
        <v>473</v>
      </c>
      <c r="K113" s="46" t="s">
        <v>1609</v>
      </c>
      <c r="L113" s="435" t="s">
        <v>1544</v>
      </c>
      <c r="M113" s="43" t="s">
        <v>475</v>
      </c>
      <c r="N113" s="79" t="s">
        <v>476</v>
      </c>
      <c r="O113" s="408"/>
      <c r="P113" s="419" t="s">
        <v>438</v>
      </c>
      <c r="Q113" s="395" t="s">
        <v>864</v>
      </c>
      <c r="R113" s="102"/>
      <c r="V113" s="274" t="s">
        <v>477</v>
      </c>
      <c r="W113" s="256">
        <f t="shared" ref="W113:AB113" si="98">COUNTIF($E112:$N112,W112)</f>
        <v>10</v>
      </c>
      <c r="X113" s="256">
        <f t="shared" si="98"/>
        <v>0</v>
      </c>
      <c r="Y113" s="256">
        <f t="shared" si="98"/>
        <v>0</v>
      </c>
      <c r="Z113" s="256">
        <f t="shared" si="98"/>
        <v>0</v>
      </c>
      <c r="AA113" s="256">
        <f t="shared" si="98"/>
        <v>0</v>
      </c>
      <c r="AB113" s="256">
        <f t="shared" si="98"/>
        <v>0</v>
      </c>
      <c r="AC113" s="264"/>
      <c r="AD113" s="274" t="s">
        <v>477</v>
      </c>
      <c r="AE113" s="256" t="e">
        <f ca="1">colorcount($E113:$N113,$S$3)+colorcount($E113:$N113,$S$4)+colorcount($E113:$N113,$S$5)+colorcount($E113:$N113,$S$6)+colorcount($E113:$N113,$S$7)+colorcount($E113:$N113,$S$9)+colorcount($E113:$N113,$S$10)+colorcount($E113:$N113,$S$11)+colorcount($E113:$N113,$S$12)</f>
        <v>#NAME?</v>
      </c>
      <c r="AF113" s="256" t="e">
        <f ca="1">colorcount($E113:$N113,$S$15)</f>
        <v>#NAME?</v>
      </c>
      <c r="AG113" s="256" t="e">
        <f ca="1">colorcount($E113:$N113,$S$17)+colorcount($E113:$N113,$S$18)+colorcount($E113:$N113,$S$19)+colorcount($E113:$N113,$S$20)+colorcount($E113:$N113,$S$21)</f>
        <v>#NAME?</v>
      </c>
      <c r="AH113" s="256" t="e">
        <f ca="1">colorcount($E113:$N113,$S$23)</f>
        <v>#NAME?</v>
      </c>
      <c r="AI113" s="256" t="e">
        <f ca="1">colorcount($E113:$N113,$S$26)</f>
        <v>#NAME?</v>
      </c>
      <c r="AJ113" s="256" t="e">
        <f ca="1">colorcount($E113:$N113,$S$28)</f>
        <v>#NAME?</v>
      </c>
      <c r="AK113" s="264"/>
      <c r="AL113" s="274" t="s">
        <v>477</v>
      </c>
      <c r="AM113" s="277" t="e">
        <f t="shared" ref="AM113:AR113" ca="1" si="99">IF(W113=AE113,"O","X")</f>
        <v>#NAME?</v>
      </c>
      <c r="AN113" s="277" t="e">
        <f t="shared" ca="1" si="99"/>
        <v>#NAME?</v>
      </c>
      <c r="AO113" s="277" t="e">
        <f t="shared" ca="1" si="99"/>
        <v>#NAME?</v>
      </c>
      <c r="AP113" s="277" t="e">
        <f t="shared" ca="1" si="99"/>
        <v>#NAME?</v>
      </c>
      <c r="AQ113" s="277" t="e">
        <f t="shared" ca="1" si="99"/>
        <v>#NAME?</v>
      </c>
      <c r="AR113" s="277" t="e">
        <f t="shared" ca="1" si="99"/>
        <v>#NAME?</v>
      </c>
    </row>
    <row r="114" spans="1:44" ht="14.1" customHeight="1">
      <c r="A114" s="513" t="s">
        <v>478</v>
      </c>
      <c r="B114" s="553" t="s">
        <v>479</v>
      </c>
      <c r="C114" s="560"/>
      <c r="D114" s="567"/>
      <c r="E114" s="363" t="s">
        <v>35</v>
      </c>
      <c r="F114" s="215" t="s">
        <v>35</v>
      </c>
      <c r="G114" s="215" t="s">
        <v>39</v>
      </c>
      <c r="H114" s="215" t="s">
        <v>35</v>
      </c>
      <c r="I114" s="215" t="s">
        <v>35</v>
      </c>
      <c r="J114" s="215" t="s">
        <v>35</v>
      </c>
      <c r="K114" s="215" t="s">
        <v>35</v>
      </c>
      <c r="L114" s="215" t="s">
        <v>35</v>
      </c>
      <c r="M114" s="215" t="s">
        <v>35</v>
      </c>
      <c r="N114" s="241" t="s">
        <v>35</v>
      </c>
      <c r="O114" s="352"/>
      <c r="P114" s="353"/>
      <c r="Q114" s="356"/>
      <c r="R114" s="102"/>
      <c r="V114" s="253" t="s">
        <v>38</v>
      </c>
      <c r="W114" s="253" t="s">
        <v>35</v>
      </c>
      <c r="X114" s="253" t="s">
        <v>39</v>
      </c>
      <c r="Y114" s="275" t="s">
        <v>34</v>
      </c>
      <c r="Z114" s="275" t="s">
        <v>36</v>
      </c>
      <c r="AA114" s="275" t="s">
        <v>40</v>
      </c>
      <c r="AB114" s="275" t="s">
        <v>41</v>
      </c>
      <c r="AC114" s="264"/>
      <c r="AD114" s="253" t="s">
        <v>38</v>
      </c>
      <c r="AE114" s="253" t="s">
        <v>35</v>
      </c>
      <c r="AF114" s="253" t="s">
        <v>39</v>
      </c>
      <c r="AG114" s="275" t="s">
        <v>34</v>
      </c>
      <c r="AH114" s="275" t="s">
        <v>36</v>
      </c>
      <c r="AI114" s="275" t="s">
        <v>40</v>
      </c>
      <c r="AJ114" s="275" t="s">
        <v>41</v>
      </c>
      <c r="AK114" s="264"/>
      <c r="AL114" s="253" t="s">
        <v>38</v>
      </c>
      <c r="AM114" s="276" t="s">
        <v>35</v>
      </c>
      <c r="AN114" s="276" t="s">
        <v>39</v>
      </c>
      <c r="AO114" s="275" t="s">
        <v>34</v>
      </c>
      <c r="AP114" s="275" t="s">
        <v>36</v>
      </c>
      <c r="AQ114" s="275" t="s">
        <v>40</v>
      </c>
      <c r="AR114" s="275" t="s">
        <v>41</v>
      </c>
    </row>
    <row r="115" spans="1:44" ht="30" customHeight="1">
      <c r="A115" s="513"/>
      <c r="B115" s="553"/>
      <c r="C115" s="560"/>
      <c r="D115" s="567"/>
      <c r="E115" s="51" t="s">
        <v>1615</v>
      </c>
      <c r="F115" s="38" t="s">
        <v>481</v>
      </c>
      <c r="G115" s="221" t="s">
        <v>235</v>
      </c>
      <c r="H115" s="38" t="s">
        <v>482</v>
      </c>
      <c r="I115" s="38" t="s">
        <v>483</v>
      </c>
      <c r="J115" s="38" t="s">
        <v>484</v>
      </c>
      <c r="K115" s="456" t="s">
        <v>485</v>
      </c>
      <c r="L115" s="43" t="s">
        <v>486</v>
      </c>
      <c r="M115" s="38" t="s">
        <v>487</v>
      </c>
      <c r="N115" s="77" t="s">
        <v>488</v>
      </c>
      <c r="O115" s="408"/>
      <c r="P115" s="429" t="s">
        <v>70</v>
      </c>
      <c r="Q115" s="395" t="s">
        <v>864</v>
      </c>
      <c r="R115" s="102"/>
      <c r="V115" s="283" t="s">
        <v>479</v>
      </c>
      <c r="W115" s="256">
        <f t="shared" ref="W115:AB115" si="100">COUNTIF($E114:$N114,W114)</f>
        <v>9</v>
      </c>
      <c r="X115" s="256">
        <f t="shared" si="100"/>
        <v>1</v>
      </c>
      <c r="Y115" s="256">
        <f t="shared" si="100"/>
        <v>0</v>
      </c>
      <c r="Z115" s="256">
        <f t="shared" si="100"/>
        <v>0</v>
      </c>
      <c r="AA115" s="256">
        <f t="shared" si="100"/>
        <v>0</v>
      </c>
      <c r="AB115" s="256">
        <f t="shared" si="100"/>
        <v>0</v>
      </c>
      <c r="AC115" s="264"/>
      <c r="AD115" s="283" t="s">
        <v>479</v>
      </c>
      <c r="AE115" s="256" t="e">
        <f ca="1">colorcount($E115:$N115,$S$3)+colorcount($E115:$N115,$S$4)+colorcount($E115:$N115,$S$5)+colorcount($E115:$N115,$S$6)+colorcount($E115:$N115,$S$7)+colorcount($E115:$N115,$S$9)+colorcount($E115:$N115,$S$10)+colorcount($E115:$N115,$S$11)+colorcount($E115:$N115,$S$12)</f>
        <v>#NAME?</v>
      </c>
      <c r="AF115" s="256" t="e">
        <f ca="1">colorcount($F115:$N115,$S$15)</f>
        <v>#NAME?</v>
      </c>
      <c r="AG115" s="256" t="e">
        <f ca="1">colorcount($F115:$N115,$S$17)+colorcount($F115:$N115,$S$18)+colorcount($F115:$N115,$S$19)+colorcount($F115:$N115,$S$20)+colorcount($F115:$N115,$S$21)</f>
        <v>#NAME?</v>
      </c>
      <c r="AH115" s="256" t="e">
        <f ca="1">colorcount($F115:$N115,$S$23)</f>
        <v>#NAME?</v>
      </c>
      <c r="AI115" s="256" t="e">
        <f ca="1">colorcount($F115:$N115,$S$26)</f>
        <v>#NAME?</v>
      </c>
      <c r="AJ115" s="256" t="e">
        <f ca="1">colorcount($F115:$N115,$S$28)</f>
        <v>#NAME?</v>
      </c>
      <c r="AK115" s="264"/>
      <c r="AL115" s="283" t="s">
        <v>479</v>
      </c>
      <c r="AM115" s="277" t="e">
        <f t="shared" ref="AM115:AR115" ca="1" si="101">IF(W115=AE115,"O","X")</f>
        <v>#NAME?</v>
      </c>
      <c r="AN115" s="277" t="e">
        <f t="shared" ca="1" si="101"/>
        <v>#NAME?</v>
      </c>
      <c r="AO115" s="277" t="e">
        <f t="shared" ca="1" si="101"/>
        <v>#NAME?</v>
      </c>
      <c r="AP115" s="277" t="e">
        <f t="shared" ca="1" si="101"/>
        <v>#NAME?</v>
      </c>
      <c r="AQ115" s="277" t="e">
        <f t="shared" ca="1" si="101"/>
        <v>#NAME?</v>
      </c>
      <c r="AR115" s="277" t="e">
        <f t="shared" ca="1" si="101"/>
        <v>#NAME?</v>
      </c>
    </row>
    <row r="116" spans="1:44" ht="14.1" customHeight="1">
      <c r="A116" s="513" t="s">
        <v>489</v>
      </c>
      <c r="B116" s="552" t="s">
        <v>490</v>
      </c>
      <c r="C116" s="560"/>
      <c r="D116" s="567"/>
      <c r="E116" s="363" t="s">
        <v>35</v>
      </c>
      <c r="F116" s="215" t="s">
        <v>35</v>
      </c>
      <c r="G116" s="215" t="s">
        <v>35</v>
      </c>
      <c r="H116" s="215" t="s">
        <v>35</v>
      </c>
      <c r="I116" s="215" t="s">
        <v>35</v>
      </c>
      <c r="J116" s="215" t="s">
        <v>35</v>
      </c>
      <c r="K116" s="215" t="s">
        <v>35</v>
      </c>
      <c r="L116" s="240" t="s">
        <v>35</v>
      </c>
      <c r="M116" s="215" t="s">
        <v>35</v>
      </c>
      <c r="N116" s="241" t="s">
        <v>35</v>
      </c>
      <c r="O116" s="352"/>
      <c r="P116" s="353"/>
      <c r="Q116" s="356"/>
      <c r="R116" s="102"/>
      <c r="V116" s="253" t="s">
        <v>38</v>
      </c>
      <c r="W116" s="253" t="s">
        <v>35</v>
      </c>
      <c r="X116" s="253" t="s">
        <v>39</v>
      </c>
      <c r="Y116" s="275" t="s">
        <v>34</v>
      </c>
      <c r="Z116" s="275" t="s">
        <v>36</v>
      </c>
      <c r="AA116" s="275" t="s">
        <v>40</v>
      </c>
      <c r="AB116" s="275" t="s">
        <v>41</v>
      </c>
      <c r="AC116" s="264"/>
      <c r="AD116" s="253" t="s">
        <v>38</v>
      </c>
      <c r="AE116" s="253" t="s">
        <v>35</v>
      </c>
      <c r="AF116" s="253" t="s">
        <v>39</v>
      </c>
      <c r="AG116" s="275" t="s">
        <v>34</v>
      </c>
      <c r="AH116" s="275" t="s">
        <v>36</v>
      </c>
      <c r="AI116" s="275" t="s">
        <v>40</v>
      </c>
      <c r="AJ116" s="275" t="s">
        <v>41</v>
      </c>
      <c r="AK116" s="264"/>
      <c r="AL116" s="253" t="s">
        <v>38</v>
      </c>
      <c r="AM116" s="276" t="s">
        <v>35</v>
      </c>
      <c r="AN116" s="276" t="s">
        <v>39</v>
      </c>
      <c r="AO116" s="275" t="s">
        <v>34</v>
      </c>
      <c r="AP116" s="275" t="s">
        <v>36</v>
      </c>
      <c r="AQ116" s="275" t="s">
        <v>40</v>
      </c>
      <c r="AR116" s="275" t="s">
        <v>41</v>
      </c>
    </row>
    <row r="117" spans="1:44" ht="30" customHeight="1">
      <c r="A117" s="513"/>
      <c r="B117" s="552"/>
      <c r="C117" s="560"/>
      <c r="D117" s="567"/>
      <c r="E117" s="37" t="s">
        <v>491</v>
      </c>
      <c r="F117" s="40" t="s">
        <v>492</v>
      </c>
      <c r="G117" s="43" t="s">
        <v>493</v>
      </c>
      <c r="H117" s="44" t="s">
        <v>1521</v>
      </c>
      <c r="I117" s="38" t="s">
        <v>494</v>
      </c>
      <c r="J117" s="38" t="s">
        <v>495</v>
      </c>
      <c r="K117" s="43" t="s">
        <v>496</v>
      </c>
      <c r="L117" s="38" t="s">
        <v>437</v>
      </c>
      <c r="M117" s="38" t="s">
        <v>497</v>
      </c>
      <c r="N117" s="457" t="s">
        <v>1538</v>
      </c>
      <c r="O117" s="408"/>
      <c r="P117" s="430" t="s">
        <v>883</v>
      </c>
      <c r="Q117" s="395" t="s">
        <v>864</v>
      </c>
      <c r="R117" s="102"/>
      <c r="V117" s="283" t="s">
        <v>498</v>
      </c>
      <c r="W117" s="256">
        <f t="shared" ref="W117:AB117" si="102">COUNTIF($E116:$N116,W116)</f>
        <v>10</v>
      </c>
      <c r="X117" s="256">
        <f t="shared" si="102"/>
        <v>0</v>
      </c>
      <c r="Y117" s="256">
        <f t="shared" si="102"/>
        <v>0</v>
      </c>
      <c r="Z117" s="256">
        <f t="shared" si="102"/>
        <v>0</v>
      </c>
      <c r="AA117" s="256">
        <f t="shared" si="102"/>
        <v>0</v>
      </c>
      <c r="AB117" s="256">
        <f t="shared" si="102"/>
        <v>0</v>
      </c>
      <c r="AC117" s="264"/>
      <c r="AD117" s="283" t="s">
        <v>498</v>
      </c>
      <c r="AE117" s="256" t="e">
        <f ca="1">colorcount($E117:$N117,$S$3)+colorcount($E117:$N117,$S$4)+colorcount($E117:$N117,$S$5)+colorcount($E117:$N117,$S$6)+colorcount($E117:$N117,$S$7)+colorcount($E117:$N117,$S$9)+colorcount($E117:$N117,$S$10)+colorcount($E117:$N117,$S$11)+colorcount($E117:$N117,$S$12)</f>
        <v>#NAME?</v>
      </c>
      <c r="AF117" s="256" t="e">
        <f ca="1">colorcount($E117:$N117,$S$15)</f>
        <v>#NAME?</v>
      </c>
      <c r="AG117" s="256" t="e">
        <f ca="1">colorcount($E117:$N117,$S$17)+colorcount($E117:$N117,$S$18)+colorcount($E117:$N117,$S$19)+colorcount($E117:$N117,$S$20)+colorcount($E117:$N117,$S$21)</f>
        <v>#NAME?</v>
      </c>
      <c r="AH117" s="256" t="e">
        <f ca="1">colorcount($E117:$N117,$S$23)</f>
        <v>#NAME?</v>
      </c>
      <c r="AI117" s="256" t="e">
        <f ca="1">colorcount($E117:$N117,$S$26)</f>
        <v>#NAME?</v>
      </c>
      <c r="AJ117" s="256" t="e">
        <f ca="1">colorcount($E117:$N117,$S$28)</f>
        <v>#NAME?</v>
      </c>
      <c r="AK117" s="264"/>
      <c r="AL117" s="283" t="s">
        <v>498</v>
      </c>
      <c r="AM117" s="277" t="e">
        <f t="shared" ref="AM117:AR117" ca="1" si="103">IF(W117=AE117,"O","X")</f>
        <v>#NAME?</v>
      </c>
      <c r="AN117" s="277" t="e">
        <f t="shared" ca="1" si="103"/>
        <v>#NAME?</v>
      </c>
      <c r="AO117" s="277" t="e">
        <f t="shared" ca="1" si="103"/>
        <v>#NAME?</v>
      </c>
      <c r="AP117" s="277" t="e">
        <f t="shared" ca="1" si="103"/>
        <v>#NAME?</v>
      </c>
      <c r="AQ117" s="277" t="e">
        <f t="shared" ca="1" si="103"/>
        <v>#NAME?</v>
      </c>
      <c r="AR117" s="277" t="e">
        <f t="shared" ca="1" si="103"/>
        <v>#NAME?</v>
      </c>
    </row>
    <row r="118" spans="1:44" ht="14.1" customHeight="1">
      <c r="A118" s="513" t="s">
        <v>499</v>
      </c>
      <c r="B118" s="552" t="s">
        <v>500</v>
      </c>
      <c r="C118" s="560"/>
      <c r="D118" s="567"/>
      <c r="E118" s="363" t="s">
        <v>35</v>
      </c>
      <c r="F118" s="215" t="s">
        <v>35</v>
      </c>
      <c r="G118" s="215" t="s">
        <v>35</v>
      </c>
      <c r="H118" s="215" t="s">
        <v>35</v>
      </c>
      <c r="I118" s="215" t="s">
        <v>35</v>
      </c>
      <c r="J118" s="215" t="s">
        <v>35</v>
      </c>
      <c r="K118" s="215" t="s">
        <v>35</v>
      </c>
      <c r="L118" s="215" t="s">
        <v>35</v>
      </c>
      <c r="M118" s="215" t="s">
        <v>35</v>
      </c>
      <c r="N118" s="241" t="s">
        <v>35</v>
      </c>
      <c r="O118" s="352"/>
      <c r="P118" s="353"/>
      <c r="Q118" s="356"/>
      <c r="R118" s="102"/>
      <c r="V118" s="253" t="s">
        <v>38</v>
      </c>
      <c r="W118" s="253" t="s">
        <v>35</v>
      </c>
      <c r="X118" s="253" t="s">
        <v>39</v>
      </c>
      <c r="Y118" s="275" t="s">
        <v>34</v>
      </c>
      <c r="Z118" s="275" t="s">
        <v>36</v>
      </c>
      <c r="AA118" s="275" t="s">
        <v>40</v>
      </c>
      <c r="AB118" s="275" t="s">
        <v>41</v>
      </c>
      <c r="AC118" s="264"/>
      <c r="AD118" s="253" t="s">
        <v>38</v>
      </c>
      <c r="AE118" s="253" t="s">
        <v>35</v>
      </c>
      <c r="AF118" s="253" t="s">
        <v>39</v>
      </c>
      <c r="AG118" s="275" t="s">
        <v>34</v>
      </c>
      <c r="AH118" s="275" t="s">
        <v>36</v>
      </c>
      <c r="AI118" s="275" t="s">
        <v>40</v>
      </c>
      <c r="AJ118" s="275" t="s">
        <v>41</v>
      </c>
      <c r="AK118" s="264"/>
      <c r="AL118" s="253" t="s">
        <v>38</v>
      </c>
      <c r="AM118" s="276" t="s">
        <v>35</v>
      </c>
      <c r="AN118" s="276" t="s">
        <v>39</v>
      </c>
      <c r="AO118" s="275" t="s">
        <v>34</v>
      </c>
      <c r="AP118" s="275" t="s">
        <v>36</v>
      </c>
      <c r="AQ118" s="275" t="s">
        <v>40</v>
      </c>
      <c r="AR118" s="275" t="s">
        <v>41</v>
      </c>
    </row>
    <row r="119" spans="1:44" ht="30" customHeight="1">
      <c r="A119" s="513"/>
      <c r="B119" s="552"/>
      <c r="C119" s="560"/>
      <c r="D119" s="567"/>
      <c r="E119" s="371" t="s">
        <v>501</v>
      </c>
      <c r="F119" s="44" t="s">
        <v>502</v>
      </c>
      <c r="G119" s="44" t="s">
        <v>503</v>
      </c>
      <c r="H119" s="456" t="s">
        <v>504</v>
      </c>
      <c r="I119" s="46" t="s">
        <v>1791</v>
      </c>
      <c r="J119" s="452" t="s">
        <v>506</v>
      </c>
      <c r="K119" s="44" t="s">
        <v>1522</v>
      </c>
      <c r="L119" s="46" t="s">
        <v>1635</v>
      </c>
      <c r="M119" s="456" t="s">
        <v>508</v>
      </c>
      <c r="N119" s="457" t="s">
        <v>509</v>
      </c>
      <c r="O119" s="408"/>
      <c r="P119" s="422" t="s">
        <v>63</v>
      </c>
      <c r="Q119" s="395" t="s">
        <v>864</v>
      </c>
      <c r="R119" s="102"/>
      <c r="V119" s="283" t="s">
        <v>510</v>
      </c>
      <c r="W119" s="256">
        <f t="shared" ref="W119:AB119" si="104">COUNTIF($E118:$N118,W118)</f>
        <v>10</v>
      </c>
      <c r="X119" s="256">
        <f t="shared" si="104"/>
        <v>0</v>
      </c>
      <c r="Y119" s="256">
        <f t="shared" si="104"/>
        <v>0</v>
      </c>
      <c r="Z119" s="256">
        <f t="shared" si="104"/>
        <v>0</v>
      </c>
      <c r="AA119" s="256">
        <f t="shared" si="104"/>
        <v>0</v>
      </c>
      <c r="AB119" s="256">
        <f t="shared" si="104"/>
        <v>0</v>
      </c>
      <c r="AC119" s="264"/>
      <c r="AD119" s="283" t="s">
        <v>510</v>
      </c>
      <c r="AE119" s="256" t="e">
        <f ca="1">colorcount($E119:$N119,$S$3)+colorcount($E119:$N119,$S$4)+colorcount($E119:$N119,$S$5)+colorcount($E119:$N119,$S$6)+colorcount($E119:$N119,$S$7)+colorcount($E119:$N119,$S$9)+colorcount($E119:$N119,$S$10)+colorcount($E119:$N119,$S$11)+colorcount($E119:$N119,$S$12)</f>
        <v>#NAME?</v>
      </c>
      <c r="AF119" s="256" t="e">
        <f ca="1">colorcount($E119:$N119,$S$15)</f>
        <v>#NAME?</v>
      </c>
      <c r="AG119" s="256" t="e">
        <f ca="1">colorcount($E119:$N119,$S$17)+colorcount($E119:$N119,$S$18)+colorcount($E119:$N119,$S$19)+colorcount($E119:$N119,$S$20)+colorcount($E119:$N119,$S$21)</f>
        <v>#NAME?</v>
      </c>
      <c r="AH119" s="256" t="e">
        <f ca="1">colorcount($E119:$N119,$S$23)</f>
        <v>#NAME?</v>
      </c>
      <c r="AI119" s="256" t="e">
        <f ca="1">colorcount($E119:$N119,$S$26)</f>
        <v>#NAME?</v>
      </c>
      <c r="AJ119" s="256" t="e">
        <f ca="1">colorcount($E119:$N119,$S$28)</f>
        <v>#NAME?</v>
      </c>
      <c r="AK119" s="264"/>
      <c r="AL119" s="283" t="s">
        <v>510</v>
      </c>
      <c r="AM119" s="277" t="e">
        <f t="shared" ref="AM119:AR119" ca="1" si="105">IF(W119=AE119,"O","X")</f>
        <v>#NAME?</v>
      </c>
      <c r="AN119" s="277" t="e">
        <f t="shared" ca="1" si="105"/>
        <v>#NAME?</v>
      </c>
      <c r="AO119" s="277" t="e">
        <f t="shared" ca="1" si="105"/>
        <v>#NAME?</v>
      </c>
      <c r="AP119" s="277" t="e">
        <f t="shared" ca="1" si="105"/>
        <v>#NAME?</v>
      </c>
      <c r="AQ119" s="277" t="e">
        <f t="shared" ca="1" si="105"/>
        <v>#NAME?</v>
      </c>
      <c r="AR119" s="277" t="e">
        <f t="shared" ca="1" si="105"/>
        <v>#NAME?</v>
      </c>
    </row>
    <row r="120" spans="1:44" ht="14.1" customHeight="1">
      <c r="A120" s="513" t="s">
        <v>511</v>
      </c>
      <c r="B120" s="546" t="s">
        <v>512</v>
      </c>
      <c r="C120" s="560"/>
      <c r="D120" s="567"/>
      <c r="E120" s="363" t="s">
        <v>34</v>
      </c>
      <c r="F120" s="215" t="s">
        <v>35</v>
      </c>
      <c r="G120" s="215" t="s">
        <v>35</v>
      </c>
      <c r="H120" s="215" t="s">
        <v>35</v>
      </c>
      <c r="I120" s="215" t="s">
        <v>35</v>
      </c>
      <c r="J120" s="215" t="s">
        <v>35</v>
      </c>
      <c r="K120" s="215" t="s">
        <v>35</v>
      </c>
      <c r="L120" s="215" t="s">
        <v>35</v>
      </c>
      <c r="M120" s="215" t="s">
        <v>35</v>
      </c>
      <c r="N120" s="241" t="s">
        <v>35</v>
      </c>
      <c r="O120" s="352"/>
      <c r="P120" s="353"/>
      <c r="Q120" s="356"/>
      <c r="R120" s="102"/>
      <c r="V120" s="253" t="s">
        <v>38</v>
      </c>
      <c r="W120" s="253" t="s">
        <v>35</v>
      </c>
      <c r="X120" s="253" t="s">
        <v>39</v>
      </c>
      <c r="Y120" s="275" t="s">
        <v>34</v>
      </c>
      <c r="Z120" s="275" t="s">
        <v>36</v>
      </c>
      <c r="AA120" s="275" t="s">
        <v>40</v>
      </c>
      <c r="AB120" s="275" t="s">
        <v>41</v>
      </c>
      <c r="AC120" s="264"/>
      <c r="AD120" s="253" t="s">
        <v>38</v>
      </c>
      <c r="AE120" s="253" t="s">
        <v>35</v>
      </c>
      <c r="AF120" s="253" t="s">
        <v>39</v>
      </c>
      <c r="AG120" s="275" t="s">
        <v>34</v>
      </c>
      <c r="AH120" s="275" t="s">
        <v>36</v>
      </c>
      <c r="AI120" s="275" t="s">
        <v>40</v>
      </c>
      <c r="AJ120" s="275" t="s">
        <v>41</v>
      </c>
      <c r="AK120" s="264"/>
      <c r="AL120" s="253" t="s">
        <v>38</v>
      </c>
      <c r="AM120" s="276" t="s">
        <v>35</v>
      </c>
      <c r="AN120" s="276" t="s">
        <v>39</v>
      </c>
      <c r="AO120" s="275" t="s">
        <v>34</v>
      </c>
      <c r="AP120" s="275" t="s">
        <v>36</v>
      </c>
      <c r="AQ120" s="275" t="s">
        <v>40</v>
      </c>
      <c r="AR120" s="275" t="s">
        <v>41</v>
      </c>
    </row>
    <row r="121" spans="1:44" ht="30" customHeight="1">
      <c r="A121" s="513"/>
      <c r="B121" s="546"/>
      <c r="C121" s="560"/>
      <c r="D121" s="567"/>
      <c r="E121" s="56" t="s">
        <v>79</v>
      </c>
      <c r="F121" s="38" t="s">
        <v>513</v>
      </c>
      <c r="G121" s="43" t="s">
        <v>514</v>
      </c>
      <c r="H121" s="38" t="s">
        <v>515</v>
      </c>
      <c r="I121" s="38" t="s">
        <v>516</v>
      </c>
      <c r="J121" s="46" t="s">
        <v>1768</v>
      </c>
      <c r="K121" s="38" t="s">
        <v>517</v>
      </c>
      <c r="L121" s="38" t="s">
        <v>518</v>
      </c>
      <c r="M121" s="38" t="s">
        <v>519</v>
      </c>
      <c r="N121" s="82" t="s">
        <v>1644</v>
      </c>
      <c r="O121" s="408"/>
      <c r="P121" s="429" t="s">
        <v>960</v>
      </c>
      <c r="Q121" s="395" t="s">
        <v>864</v>
      </c>
      <c r="R121" s="102"/>
      <c r="V121" s="283" t="s">
        <v>512</v>
      </c>
      <c r="W121" s="256">
        <f t="shared" ref="W121:AB121" si="106">COUNTIF($E120:$N120,W120)</f>
        <v>9</v>
      </c>
      <c r="X121" s="256">
        <f t="shared" si="106"/>
        <v>0</v>
      </c>
      <c r="Y121" s="256">
        <f t="shared" si="106"/>
        <v>1</v>
      </c>
      <c r="Z121" s="256">
        <f t="shared" si="106"/>
        <v>0</v>
      </c>
      <c r="AA121" s="256">
        <f t="shared" si="106"/>
        <v>0</v>
      </c>
      <c r="AB121" s="256">
        <f t="shared" si="106"/>
        <v>0</v>
      </c>
      <c r="AC121" s="264"/>
      <c r="AD121" s="283" t="s">
        <v>512</v>
      </c>
      <c r="AE121" s="256" t="e">
        <f ca="1">colorcount($E121:$N121,$S$3)+colorcount($E121:$N121,$S$4)+colorcount($E121:$N121,$S$5)+colorcount($E121:$N121,$S$6)+colorcount($E121:$N121,$S$7)+colorcount($E121:$N121,$S$9)+colorcount($E121:$N121,$S$10)+colorcount($E121:$N121,$S$11)+colorcount($E121:$N121,$S$12)</f>
        <v>#NAME?</v>
      </c>
      <c r="AF121" s="256" t="e">
        <f ca="1">colorcount($E121:$N121,$S$15)</f>
        <v>#NAME?</v>
      </c>
      <c r="AG121" s="256" t="e">
        <f ca="1">colorcount($E121:$N121,$S$17)+colorcount($E121:$N121,$S$18)+colorcount($E121:$N121,$S$19)+colorcount($E121:$N121,$S$20)+colorcount($E121:$N121,$S$21)</f>
        <v>#NAME?</v>
      </c>
      <c r="AH121" s="256" t="e">
        <f ca="1">colorcount($E121:$N121,$S$23)</f>
        <v>#NAME?</v>
      </c>
      <c r="AI121" s="256" t="e">
        <f ca="1">colorcount($E121:$N121,$S$26)</f>
        <v>#NAME?</v>
      </c>
      <c r="AJ121" s="256" t="e">
        <f ca="1">colorcount($E121:$N121,$S$28)</f>
        <v>#NAME?</v>
      </c>
      <c r="AK121" s="264"/>
      <c r="AL121" s="283" t="s">
        <v>512</v>
      </c>
      <c r="AM121" s="277" t="e">
        <f t="shared" ref="AM121:AR121" ca="1" si="107">IF(W121=AE121,"O","X")</f>
        <v>#NAME?</v>
      </c>
      <c r="AN121" s="277" t="e">
        <f t="shared" ca="1" si="107"/>
        <v>#NAME?</v>
      </c>
      <c r="AO121" s="277" t="e">
        <f t="shared" ca="1" si="107"/>
        <v>#NAME?</v>
      </c>
      <c r="AP121" s="277" t="e">
        <f t="shared" ca="1" si="107"/>
        <v>#NAME?</v>
      </c>
      <c r="AQ121" s="277" t="e">
        <f t="shared" ca="1" si="107"/>
        <v>#NAME?</v>
      </c>
      <c r="AR121" s="277" t="e">
        <f t="shared" ca="1" si="107"/>
        <v>#NAME?</v>
      </c>
    </row>
    <row r="122" spans="1:44" ht="14.1" customHeight="1">
      <c r="A122" s="513" t="s">
        <v>521</v>
      </c>
      <c r="B122" s="554" t="s">
        <v>522</v>
      </c>
      <c r="C122" s="560"/>
      <c r="D122" s="567"/>
      <c r="E122" s="363" t="s">
        <v>35</v>
      </c>
      <c r="F122" s="215" t="s">
        <v>35</v>
      </c>
      <c r="G122" s="215" t="s">
        <v>35</v>
      </c>
      <c r="H122" s="215" t="s">
        <v>35</v>
      </c>
      <c r="I122" s="215" t="s">
        <v>35</v>
      </c>
      <c r="J122" s="215" t="s">
        <v>35</v>
      </c>
      <c r="K122" s="215" t="s">
        <v>35</v>
      </c>
      <c r="L122" s="215" t="s">
        <v>35</v>
      </c>
      <c r="M122" s="215" t="s">
        <v>35</v>
      </c>
      <c r="N122" s="241" t="s">
        <v>35</v>
      </c>
      <c r="O122" s="352"/>
      <c r="P122" s="353"/>
      <c r="Q122" s="356"/>
      <c r="R122" s="102"/>
      <c r="V122" s="253" t="s">
        <v>38</v>
      </c>
      <c r="W122" s="253" t="s">
        <v>35</v>
      </c>
      <c r="X122" s="253" t="s">
        <v>39</v>
      </c>
      <c r="Y122" s="275" t="s">
        <v>34</v>
      </c>
      <c r="Z122" s="275" t="s">
        <v>36</v>
      </c>
      <c r="AA122" s="275" t="s">
        <v>40</v>
      </c>
      <c r="AB122" s="275" t="s">
        <v>41</v>
      </c>
      <c r="AC122" s="264"/>
      <c r="AD122" s="253" t="s">
        <v>38</v>
      </c>
      <c r="AE122" s="253" t="s">
        <v>35</v>
      </c>
      <c r="AF122" s="253" t="s">
        <v>39</v>
      </c>
      <c r="AG122" s="275" t="s">
        <v>34</v>
      </c>
      <c r="AH122" s="275" t="s">
        <v>36</v>
      </c>
      <c r="AI122" s="275" t="s">
        <v>40</v>
      </c>
      <c r="AJ122" s="275" t="s">
        <v>41</v>
      </c>
      <c r="AK122" s="264"/>
      <c r="AL122" s="253" t="s">
        <v>38</v>
      </c>
      <c r="AM122" s="276" t="s">
        <v>35</v>
      </c>
      <c r="AN122" s="276" t="s">
        <v>39</v>
      </c>
      <c r="AO122" s="275" t="s">
        <v>34</v>
      </c>
      <c r="AP122" s="275" t="s">
        <v>36</v>
      </c>
      <c r="AQ122" s="275" t="s">
        <v>40</v>
      </c>
      <c r="AR122" s="275" t="s">
        <v>41</v>
      </c>
    </row>
    <row r="123" spans="1:44" ht="30" customHeight="1">
      <c r="A123" s="513"/>
      <c r="B123" s="554"/>
      <c r="C123" s="560"/>
      <c r="D123" s="567"/>
      <c r="E123" s="458" t="s">
        <v>523</v>
      </c>
      <c r="F123" s="456" t="s">
        <v>524</v>
      </c>
      <c r="G123" s="46" t="s">
        <v>1619</v>
      </c>
      <c r="H123" s="42" t="s">
        <v>525</v>
      </c>
      <c r="I123" s="456" t="s">
        <v>526</v>
      </c>
      <c r="J123" s="456" t="s">
        <v>1541</v>
      </c>
      <c r="K123" s="38" t="s">
        <v>527</v>
      </c>
      <c r="L123" s="46" t="s">
        <v>1629</v>
      </c>
      <c r="M123" s="38" t="s">
        <v>528</v>
      </c>
      <c r="N123" s="457" t="s">
        <v>529</v>
      </c>
      <c r="O123" s="408"/>
      <c r="P123" s="419" t="s">
        <v>358</v>
      </c>
      <c r="Q123" s="395" t="s">
        <v>864</v>
      </c>
      <c r="R123" s="102"/>
      <c r="V123" s="283" t="s">
        <v>522</v>
      </c>
      <c r="W123" s="256">
        <f t="shared" ref="W123:AB123" si="108">COUNTIF($E122:$N122,W122)</f>
        <v>10</v>
      </c>
      <c r="X123" s="256">
        <f t="shared" si="108"/>
        <v>0</v>
      </c>
      <c r="Y123" s="256">
        <f t="shared" si="108"/>
        <v>0</v>
      </c>
      <c r="Z123" s="256">
        <f t="shared" si="108"/>
        <v>0</v>
      </c>
      <c r="AA123" s="256">
        <f t="shared" si="108"/>
        <v>0</v>
      </c>
      <c r="AB123" s="256">
        <f t="shared" si="108"/>
        <v>0</v>
      </c>
      <c r="AC123" s="264"/>
      <c r="AD123" s="283" t="s">
        <v>522</v>
      </c>
      <c r="AE123" s="256" t="e">
        <f ca="1">colorcount($E123:$N123,$S$3)+colorcount($E123:$N123,$S$4)+colorcount($E123:$N123,$S$5)+colorcount($E123:$N123,$S$6)+colorcount($E123:$N123,$S$7)+colorcount($E123:$N123,$S$9)+colorcount($E123:$N123,$S$10)+colorcount($E123:$N123,$S$11)+colorcount($E123:$N123,$S$12)</f>
        <v>#NAME?</v>
      </c>
      <c r="AF123" s="256" t="e">
        <f ca="1">colorcount($E123:$N123,$S$15)</f>
        <v>#NAME?</v>
      </c>
      <c r="AG123" s="256" t="e">
        <f ca="1">colorcount($E123:$N123,$S$17)+colorcount($E123:$N123,$S$18)+colorcount($E123:$N123,$S$19)+colorcount($E123:$N123,$S$20)+colorcount($E123:$N123,$S$21)</f>
        <v>#NAME?</v>
      </c>
      <c r="AH123" s="256" t="e">
        <f ca="1">colorcount($E123:$N123,$S$23)</f>
        <v>#NAME?</v>
      </c>
      <c r="AI123" s="256" t="e">
        <f ca="1">colorcount($E123:$N123,$S$26)</f>
        <v>#NAME?</v>
      </c>
      <c r="AJ123" s="256" t="e">
        <f ca="1">colorcount($E123:$N123,$S$28)</f>
        <v>#NAME?</v>
      </c>
      <c r="AK123" s="264"/>
      <c r="AL123" s="283" t="s">
        <v>522</v>
      </c>
      <c r="AM123" s="277" t="e">
        <f t="shared" ref="AM123:AR123" ca="1" si="109">IF(W123=AE123,"O","X")</f>
        <v>#NAME?</v>
      </c>
      <c r="AN123" s="277" t="e">
        <f t="shared" ca="1" si="109"/>
        <v>#NAME?</v>
      </c>
      <c r="AO123" s="277" t="e">
        <f t="shared" ca="1" si="109"/>
        <v>#NAME?</v>
      </c>
      <c r="AP123" s="277" t="e">
        <f t="shared" ca="1" si="109"/>
        <v>#NAME?</v>
      </c>
      <c r="AQ123" s="277" t="e">
        <f t="shared" ca="1" si="109"/>
        <v>#NAME?</v>
      </c>
      <c r="AR123" s="277" t="e">
        <f t="shared" ca="1" si="109"/>
        <v>#NAME?</v>
      </c>
    </row>
    <row r="124" spans="1:44" ht="14.1" customHeight="1">
      <c r="A124" s="513" t="s">
        <v>530</v>
      </c>
      <c r="B124" s="553" t="s">
        <v>531</v>
      </c>
      <c r="C124" s="560"/>
      <c r="D124" s="567"/>
      <c r="E124" s="363" t="s">
        <v>35</v>
      </c>
      <c r="F124" s="215" t="s">
        <v>35</v>
      </c>
      <c r="G124" s="240" t="s">
        <v>35</v>
      </c>
      <c r="H124" s="215" t="s">
        <v>35</v>
      </c>
      <c r="I124" s="215" t="s">
        <v>35</v>
      </c>
      <c r="J124" s="215" t="s">
        <v>35</v>
      </c>
      <c r="K124" s="215" t="s">
        <v>35</v>
      </c>
      <c r="L124" s="215" t="s">
        <v>35</v>
      </c>
      <c r="M124" s="215" t="s">
        <v>35</v>
      </c>
      <c r="N124" s="241" t="s">
        <v>35</v>
      </c>
      <c r="O124" s="352"/>
      <c r="P124" s="353"/>
      <c r="Q124" s="356"/>
      <c r="R124" s="102"/>
      <c r="V124" s="253" t="s">
        <v>38</v>
      </c>
      <c r="W124" s="253" t="s">
        <v>35</v>
      </c>
      <c r="X124" s="253" t="s">
        <v>39</v>
      </c>
      <c r="Y124" s="275" t="s">
        <v>34</v>
      </c>
      <c r="Z124" s="275" t="s">
        <v>36</v>
      </c>
      <c r="AA124" s="275" t="s">
        <v>40</v>
      </c>
      <c r="AB124" s="275" t="s">
        <v>41</v>
      </c>
      <c r="AC124" s="264"/>
      <c r="AD124" s="253" t="s">
        <v>38</v>
      </c>
      <c r="AE124" s="253" t="s">
        <v>35</v>
      </c>
      <c r="AF124" s="253" t="s">
        <v>39</v>
      </c>
      <c r="AG124" s="275" t="s">
        <v>34</v>
      </c>
      <c r="AH124" s="275" t="s">
        <v>36</v>
      </c>
      <c r="AI124" s="275" t="s">
        <v>40</v>
      </c>
      <c r="AJ124" s="275" t="s">
        <v>41</v>
      </c>
      <c r="AK124" s="264"/>
      <c r="AL124" s="253" t="s">
        <v>38</v>
      </c>
      <c r="AM124" s="276" t="s">
        <v>35</v>
      </c>
      <c r="AN124" s="276" t="s">
        <v>39</v>
      </c>
      <c r="AO124" s="275" t="s">
        <v>34</v>
      </c>
      <c r="AP124" s="275" t="s">
        <v>36</v>
      </c>
      <c r="AQ124" s="275" t="s">
        <v>40</v>
      </c>
      <c r="AR124" s="275" t="s">
        <v>41</v>
      </c>
    </row>
    <row r="125" spans="1:44" ht="30" customHeight="1">
      <c r="A125" s="513"/>
      <c r="B125" s="553"/>
      <c r="C125" s="560"/>
      <c r="D125" s="567"/>
      <c r="E125" s="458" t="s">
        <v>532</v>
      </c>
      <c r="F125" s="456" t="s">
        <v>523</v>
      </c>
      <c r="G125" s="38" t="s">
        <v>435</v>
      </c>
      <c r="H125" s="456" t="s">
        <v>1539</v>
      </c>
      <c r="I125" s="38" t="s">
        <v>533</v>
      </c>
      <c r="J125" s="38" t="s">
        <v>534</v>
      </c>
      <c r="K125" s="44" t="s">
        <v>788</v>
      </c>
      <c r="L125" s="46" t="s">
        <v>1646</v>
      </c>
      <c r="M125" s="38" t="s">
        <v>276</v>
      </c>
      <c r="N125" s="82" t="s">
        <v>1792</v>
      </c>
      <c r="O125" s="408"/>
      <c r="P125" s="429" t="s">
        <v>370</v>
      </c>
      <c r="Q125" s="395" t="s">
        <v>864</v>
      </c>
      <c r="R125" s="102"/>
      <c r="V125" s="284" t="s">
        <v>531</v>
      </c>
      <c r="W125" s="256">
        <f t="shared" ref="W125:AB125" si="110">COUNTIF($E124:$N124,W124)</f>
        <v>10</v>
      </c>
      <c r="X125" s="256">
        <f t="shared" si="110"/>
        <v>0</v>
      </c>
      <c r="Y125" s="256">
        <f t="shared" si="110"/>
        <v>0</v>
      </c>
      <c r="Z125" s="256">
        <f t="shared" si="110"/>
        <v>0</v>
      </c>
      <c r="AA125" s="256">
        <f t="shared" si="110"/>
        <v>0</v>
      </c>
      <c r="AB125" s="256">
        <f t="shared" si="110"/>
        <v>0</v>
      </c>
      <c r="AC125" s="264"/>
      <c r="AD125" s="284" t="s">
        <v>531</v>
      </c>
      <c r="AE125" s="256" t="e">
        <f ca="1">colorcount($E125:$N125,$S$3)+colorcount($E125:$N125,$S$4)+colorcount($E125:$N125,$S$5)+colorcount($E125:$N125,$S$6)+colorcount($E125:$N125,$S$7)+colorcount($E125:$N125,$S$9)+colorcount($E125:$N125,$S$10)+colorcount($E125:$N125,$S$11)+colorcount($E125:$N125,$S$12)</f>
        <v>#NAME?</v>
      </c>
      <c r="AF125" s="256" t="e">
        <f ca="1">colorcount($E125:$N125,$S$15)</f>
        <v>#NAME?</v>
      </c>
      <c r="AG125" s="256" t="e">
        <f ca="1">colorcount($E125:$N125,$S$17)+colorcount($E125:$N125,$S$18)+colorcount($E125:$N125,$S$19)+colorcount($E125:$N125,$S$20)+colorcount($E125:$N125,$S$21)</f>
        <v>#NAME?</v>
      </c>
      <c r="AH125" s="256" t="e">
        <f ca="1">colorcount($E125:$N125,$S$23)</f>
        <v>#NAME?</v>
      </c>
      <c r="AI125" s="256" t="e">
        <f ca="1">colorcount($E125:$N125,$S$26)</f>
        <v>#NAME?</v>
      </c>
      <c r="AJ125" s="256" t="e">
        <f ca="1">colorcount($E125:$N125,$S$28)</f>
        <v>#NAME?</v>
      </c>
      <c r="AK125" s="264"/>
      <c r="AL125" s="284" t="s">
        <v>531</v>
      </c>
      <c r="AM125" s="277" t="e">
        <f t="shared" ref="AM125:AR125" ca="1" si="111">IF(W125=AE125,"O","X")</f>
        <v>#NAME?</v>
      </c>
      <c r="AN125" s="277" t="e">
        <f t="shared" ca="1" si="111"/>
        <v>#NAME?</v>
      </c>
      <c r="AO125" s="277" t="e">
        <f t="shared" ca="1" si="111"/>
        <v>#NAME?</v>
      </c>
      <c r="AP125" s="277" t="e">
        <f t="shared" ca="1" si="111"/>
        <v>#NAME?</v>
      </c>
      <c r="AQ125" s="277" t="e">
        <f t="shared" ca="1" si="111"/>
        <v>#NAME?</v>
      </c>
      <c r="AR125" s="277" t="e">
        <f t="shared" ca="1" si="111"/>
        <v>#NAME?</v>
      </c>
    </row>
    <row r="126" spans="1:44" ht="14.1" customHeight="1">
      <c r="A126" s="513" t="s">
        <v>535</v>
      </c>
      <c r="B126" s="546" t="s">
        <v>536</v>
      </c>
      <c r="C126" s="560"/>
      <c r="D126" s="567"/>
      <c r="E126" s="363" t="s">
        <v>34</v>
      </c>
      <c r="F126" s="215" t="s">
        <v>35</v>
      </c>
      <c r="G126" s="215" t="s">
        <v>34</v>
      </c>
      <c r="H126" s="215" t="s">
        <v>35</v>
      </c>
      <c r="I126" s="215" t="s">
        <v>35</v>
      </c>
      <c r="J126" s="215" t="s">
        <v>34</v>
      </c>
      <c r="K126" s="215" t="s">
        <v>34</v>
      </c>
      <c r="L126" s="215" t="s">
        <v>39</v>
      </c>
      <c r="M126" s="215" t="s">
        <v>35</v>
      </c>
      <c r="N126" s="241" t="s">
        <v>35</v>
      </c>
      <c r="O126" s="352"/>
      <c r="P126" s="353"/>
      <c r="Q126" s="356"/>
      <c r="R126" s="102"/>
      <c r="V126" s="253" t="s">
        <v>38</v>
      </c>
      <c r="W126" s="253" t="s">
        <v>35</v>
      </c>
      <c r="X126" s="253" t="s">
        <v>39</v>
      </c>
      <c r="Y126" s="275" t="s">
        <v>34</v>
      </c>
      <c r="Z126" s="275" t="s">
        <v>36</v>
      </c>
      <c r="AA126" s="275" t="s">
        <v>40</v>
      </c>
      <c r="AB126" s="275" t="s">
        <v>41</v>
      </c>
      <c r="AC126" s="264"/>
      <c r="AD126" s="253" t="s">
        <v>38</v>
      </c>
      <c r="AE126" s="253" t="s">
        <v>35</v>
      </c>
      <c r="AF126" s="253" t="s">
        <v>39</v>
      </c>
      <c r="AG126" s="275" t="s">
        <v>34</v>
      </c>
      <c r="AH126" s="275" t="s">
        <v>36</v>
      </c>
      <c r="AI126" s="275" t="s">
        <v>40</v>
      </c>
      <c r="AJ126" s="275" t="s">
        <v>41</v>
      </c>
      <c r="AK126" s="264"/>
      <c r="AL126" s="253" t="s">
        <v>38</v>
      </c>
      <c r="AM126" s="276" t="s">
        <v>35</v>
      </c>
      <c r="AN126" s="276" t="s">
        <v>39</v>
      </c>
      <c r="AO126" s="275" t="s">
        <v>34</v>
      </c>
      <c r="AP126" s="275" t="s">
        <v>36</v>
      </c>
      <c r="AQ126" s="275" t="s">
        <v>40</v>
      </c>
      <c r="AR126" s="275" t="s">
        <v>41</v>
      </c>
    </row>
    <row r="127" spans="1:44" ht="30" customHeight="1">
      <c r="A127" s="513"/>
      <c r="B127" s="546"/>
      <c r="C127" s="560"/>
      <c r="D127" s="567"/>
      <c r="E127" s="67" t="s">
        <v>234</v>
      </c>
      <c r="F127" s="38" t="s">
        <v>537</v>
      </c>
      <c r="G127" s="57" t="s">
        <v>102</v>
      </c>
      <c r="H127" s="38" t="s">
        <v>402</v>
      </c>
      <c r="I127" s="38" t="s">
        <v>538</v>
      </c>
      <c r="J127" s="402" t="s">
        <v>1206</v>
      </c>
      <c r="K127" s="39" t="s">
        <v>240</v>
      </c>
      <c r="L127" s="221" t="s">
        <v>59</v>
      </c>
      <c r="M127" s="456" t="s">
        <v>539</v>
      </c>
      <c r="N127" s="82" t="s">
        <v>1661</v>
      </c>
      <c r="O127" s="408"/>
      <c r="P127" s="429" t="s">
        <v>335</v>
      </c>
      <c r="Q127" s="395" t="s">
        <v>864</v>
      </c>
      <c r="R127" s="102"/>
      <c r="V127" s="283" t="s">
        <v>536</v>
      </c>
      <c r="W127" s="256">
        <f t="shared" ref="W127:AB127" si="112">COUNTIF($E126:$N126,W126)</f>
        <v>5</v>
      </c>
      <c r="X127" s="256">
        <f t="shared" si="112"/>
        <v>1</v>
      </c>
      <c r="Y127" s="256">
        <f t="shared" si="112"/>
        <v>4</v>
      </c>
      <c r="Z127" s="256">
        <f t="shared" si="112"/>
        <v>0</v>
      </c>
      <c r="AA127" s="256">
        <f t="shared" si="112"/>
        <v>0</v>
      </c>
      <c r="AB127" s="256">
        <f t="shared" si="112"/>
        <v>0</v>
      </c>
      <c r="AC127" s="264"/>
      <c r="AD127" s="283" t="s">
        <v>536</v>
      </c>
      <c r="AE127" s="256" t="e">
        <f ca="1">colorcount($E127:$N127,$S$3)+colorcount($E127:$N127,$S$4)+colorcount($E127:$N127,$S$5)+colorcount($E127:$N127,$S$6)+colorcount($E127:$N127,$S$7)+colorcount($E127:$N127,$S$9)+colorcount($E127:$N127,$S$10)+colorcount($E127:$N127,$S$11)+colorcount($E127:$N127,$S$12)</f>
        <v>#NAME?</v>
      </c>
      <c r="AF127" s="256" t="e">
        <f ca="1">colorcount($E127:$N127,$S$15)</f>
        <v>#NAME?</v>
      </c>
      <c r="AG127" s="256" t="e">
        <f ca="1">colorcount($E127:$N127,$S$17)+colorcount($E127:$N127,$S$18)+colorcount($E127:$N127,$S$19)+colorcount($E127:$N127,$S$20)+colorcount($E127:$N127,$S$21)</f>
        <v>#NAME?</v>
      </c>
      <c r="AH127" s="256" t="e">
        <f ca="1">colorcount($E127:$N127,$S$23)</f>
        <v>#NAME?</v>
      </c>
      <c r="AI127" s="256" t="e">
        <f ca="1">colorcount($E127:$N127,$S$26)</f>
        <v>#NAME?</v>
      </c>
      <c r="AJ127" s="256" t="e">
        <f ca="1">colorcount($E127:$N127,$S$28)</f>
        <v>#NAME?</v>
      </c>
      <c r="AK127" s="264"/>
      <c r="AL127" s="283" t="s">
        <v>536</v>
      </c>
      <c r="AM127" s="277" t="e">
        <f t="shared" ref="AM127:AR127" ca="1" si="113">IF(W127=AE127,"O","X")</f>
        <v>#NAME?</v>
      </c>
      <c r="AN127" s="277" t="e">
        <f t="shared" ca="1" si="113"/>
        <v>#NAME?</v>
      </c>
      <c r="AO127" s="277" t="e">
        <f t="shared" ca="1" si="113"/>
        <v>#NAME?</v>
      </c>
      <c r="AP127" s="277" t="e">
        <f t="shared" ca="1" si="113"/>
        <v>#NAME?</v>
      </c>
      <c r="AQ127" s="277" t="e">
        <f t="shared" ca="1" si="113"/>
        <v>#NAME?</v>
      </c>
      <c r="AR127" s="277" t="e">
        <f t="shared" ca="1" si="113"/>
        <v>#NAME?</v>
      </c>
    </row>
    <row r="128" spans="1:44" ht="14.1" customHeight="1">
      <c r="A128" s="513" t="s">
        <v>540</v>
      </c>
      <c r="B128" s="552" t="s">
        <v>541</v>
      </c>
      <c r="C128" s="560"/>
      <c r="D128" s="567"/>
      <c r="E128" s="363" t="s">
        <v>35</v>
      </c>
      <c r="F128" s="215" t="s">
        <v>39</v>
      </c>
      <c r="G128" s="215" t="s">
        <v>35</v>
      </c>
      <c r="H128" s="215" t="s">
        <v>35</v>
      </c>
      <c r="I128" s="215" t="s">
        <v>35</v>
      </c>
      <c r="J128" s="215" t="s">
        <v>35</v>
      </c>
      <c r="K128" s="215" t="s">
        <v>35</v>
      </c>
      <c r="L128" s="215" t="s">
        <v>35</v>
      </c>
      <c r="M128" s="215" t="s">
        <v>35</v>
      </c>
      <c r="N128" s="241"/>
      <c r="O128" s="352"/>
      <c r="P128" s="353"/>
      <c r="Q128" s="356"/>
      <c r="R128" s="102"/>
      <c r="V128" s="253" t="s">
        <v>38</v>
      </c>
      <c r="W128" s="253" t="s">
        <v>35</v>
      </c>
      <c r="X128" s="253" t="s">
        <v>39</v>
      </c>
      <c r="Y128" s="275" t="s">
        <v>34</v>
      </c>
      <c r="Z128" s="275" t="s">
        <v>36</v>
      </c>
      <c r="AA128" s="275" t="s">
        <v>40</v>
      </c>
      <c r="AB128" s="275" t="s">
        <v>41</v>
      </c>
      <c r="AC128" s="264"/>
      <c r="AD128" s="253" t="s">
        <v>38</v>
      </c>
      <c r="AE128" s="253" t="s">
        <v>35</v>
      </c>
      <c r="AF128" s="253" t="s">
        <v>39</v>
      </c>
      <c r="AG128" s="275" t="s">
        <v>34</v>
      </c>
      <c r="AH128" s="275" t="s">
        <v>36</v>
      </c>
      <c r="AI128" s="275" t="s">
        <v>40</v>
      </c>
      <c r="AJ128" s="275" t="s">
        <v>41</v>
      </c>
      <c r="AK128" s="264"/>
      <c r="AL128" s="253" t="s">
        <v>38</v>
      </c>
      <c r="AM128" s="276" t="s">
        <v>35</v>
      </c>
      <c r="AN128" s="276" t="s">
        <v>39</v>
      </c>
      <c r="AO128" s="275" t="s">
        <v>34</v>
      </c>
      <c r="AP128" s="275" t="s">
        <v>36</v>
      </c>
      <c r="AQ128" s="275" t="s">
        <v>40</v>
      </c>
      <c r="AR128" s="275" t="s">
        <v>41</v>
      </c>
    </row>
    <row r="129" spans="1:44" ht="30" customHeight="1">
      <c r="A129" s="513"/>
      <c r="B129" s="552"/>
      <c r="C129" s="560"/>
      <c r="D129" s="567"/>
      <c r="E129" s="37" t="s">
        <v>542</v>
      </c>
      <c r="F129" s="221" t="s">
        <v>58</v>
      </c>
      <c r="G129" s="42" t="s">
        <v>789</v>
      </c>
      <c r="H129" s="38" t="s">
        <v>543</v>
      </c>
      <c r="I129" s="38" t="s">
        <v>544</v>
      </c>
      <c r="J129" s="38" t="s">
        <v>545</v>
      </c>
      <c r="K129" s="456" t="s">
        <v>546</v>
      </c>
      <c r="L129" s="456" t="s">
        <v>547</v>
      </c>
      <c r="M129" s="456" t="s">
        <v>548</v>
      </c>
      <c r="N129" s="242" t="s">
        <v>48</v>
      </c>
      <c r="O129" s="408"/>
      <c r="P129" s="430" t="s">
        <v>269</v>
      </c>
      <c r="Q129" s="395" t="s">
        <v>864</v>
      </c>
      <c r="R129" s="102"/>
      <c r="V129" s="283" t="s">
        <v>541</v>
      </c>
      <c r="W129" s="256">
        <f t="shared" ref="W129:AB129" si="114">COUNTIF($E128:$N128,W128)</f>
        <v>8</v>
      </c>
      <c r="X129" s="256">
        <f t="shared" si="114"/>
        <v>1</v>
      </c>
      <c r="Y129" s="256">
        <f t="shared" si="114"/>
        <v>0</v>
      </c>
      <c r="Z129" s="256">
        <f t="shared" si="114"/>
        <v>0</v>
      </c>
      <c r="AA129" s="256">
        <f t="shared" si="114"/>
        <v>0</v>
      </c>
      <c r="AB129" s="256">
        <f t="shared" si="114"/>
        <v>0</v>
      </c>
      <c r="AC129" s="264"/>
      <c r="AD129" s="283" t="s">
        <v>541</v>
      </c>
      <c r="AE129" s="256" t="e">
        <f ca="1">colorcount($E129:$N129,$S$3)+colorcount($E129:$N129,$S$4)+colorcount($E129:$N129,$S$5)+colorcount($E129:$N129,$S$6)+colorcount($E129:$N129,$S$7)+colorcount($E129:$N129,$S$9)+colorcount($E129:$N129,$S$10)+colorcount($E129:$N129,$S$11)+colorcount($E129:$N129,$S$12)</f>
        <v>#NAME?</v>
      </c>
      <c r="AF129" s="256" t="e">
        <f ca="1">colorcount($E129:$N129,$S$15)</f>
        <v>#NAME?</v>
      </c>
      <c r="AG129" s="256" t="e">
        <f ca="1">colorcount($E129:$N129,$S$17)+colorcount($E129:$N129,$S$18)+colorcount($E129:$N129,$S$19)+colorcount($E129:$N129,$S$20)+colorcount($E129:$N129,$S$21)</f>
        <v>#NAME?</v>
      </c>
      <c r="AH129" s="256" t="e">
        <f ca="1">colorcount($E129:$N129,$S$23)</f>
        <v>#NAME?</v>
      </c>
      <c r="AI129" s="256" t="e">
        <f ca="1">colorcount($E129:$N129,$S$26)</f>
        <v>#NAME?</v>
      </c>
      <c r="AJ129" s="256" t="e">
        <f ca="1">colorcount($E129:$N129,$S$28)</f>
        <v>#NAME?</v>
      </c>
      <c r="AK129" s="264"/>
      <c r="AL129" s="283" t="s">
        <v>541</v>
      </c>
      <c r="AM129" s="277" t="e">
        <f t="shared" ref="AM129:AR129" ca="1" si="115">IF(W129=AE129,"O","X")</f>
        <v>#NAME?</v>
      </c>
      <c r="AN129" s="277" t="e">
        <f t="shared" ca="1" si="115"/>
        <v>#NAME?</v>
      </c>
      <c r="AO129" s="277" t="e">
        <f t="shared" ca="1" si="115"/>
        <v>#NAME?</v>
      </c>
      <c r="AP129" s="277" t="e">
        <f t="shared" ca="1" si="115"/>
        <v>#NAME?</v>
      </c>
      <c r="AQ129" s="277" t="e">
        <f t="shared" ca="1" si="115"/>
        <v>#NAME?</v>
      </c>
      <c r="AR129" s="277" t="e">
        <f t="shared" ca="1" si="115"/>
        <v>#NAME?</v>
      </c>
    </row>
    <row r="130" spans="1:44" ht="14.1" customHeight="1">
      <c r="A130" s="513" t="s">
        <v>550</v>
      </c>
      <c r="B130" s="515" t="s">
        <v>551</v>
      </c>
      <c r="C130" s="560"/>
      <c r="D130" s="567"/>
      <c r="E130" s="363" t="s">
        <v>35</v>
      </c>
      <c r="F130" s="215" t="s">
        <v>35</v>
      </c>
      <c r="G130" s="215" t="s">
        <v>35</v>
      </c>
      <c r="H130" s="215" t="s">
        <v>39</v>
      </c>
      <c r="I130" s="215" t="s">
        <v>35</v>
      </c>
      <c r="J130" s="215" t="s">
        <v>39</v>
      </c>
      <c r="K130" s="215" t="s">
        <v>35</v>
      </c>
      <c r="L130" s="280" t="s">
        <v>40</v>
      </c>
      <c r="M130" s="215" t="s">
        <v>35</v>
      </c>
      <c r="N130" s="281" t="s">
        <v>41</v>
      </c>
      <c r="O130" s="352"/>
      <c r="P130" s="353"/>
      <c r="Q130" s="356"/>
      <c r="R130" s="102"/>
      <c r="V130" s="253" t="s">
        <v>38</v>
      </c>
      <c r="W130" s="253" t="s">
        <v>35</v>
      </c>
      <c r="X130" s="253" t="s">
        <v>39</v>
      </c>
      <c r="Y130" s="275" t="s">
        <v>34</v>
      </c>
      <c r="Z130" s="275" t="s">
        <v>36</v>
      </c>
      <c r="AA130" s="275" t="s">
        <v>40</v>
      </c>
      <c r="AB130" s="275" t="s">
        <v>41</v>
      </c>
      <c r="AC130" s="264"/>
      <c r="AD130" s="253" t="s">
        <v>38</v>
      </c>
      <c r="AE130" s="253" t="s">
        <v>35</v>
      </c>
      <c r="AF130" s="253" t="s">
        <v>39</v>
      </c>
      <c r="AG130" s="275" t="s">
        <v>34</v>
      </c>
      <c r="AH130" s="275" t="s">
        <v>36</v>
      </c>
      <c r="AI130" s="275" t="s">
        <v>40</v>
      </c>
      <c r="AJ130" s="275" t="s">
        <v>41</v>
      </c>
      <c r="AK130" s="264"/>
      <c r="AL130" s="253" t="s">
        <v>38</v>
      </c>
      <c r="AM130" s="276" t="s">
        <v>35</v>
      </c>
      <c r="AN130" s="276" t="s">
        <v>39</v>
      </c>
      <c r="AO130" s="275" t="s">
        <v>34</v>
      </c>
      <c r="AP130" s="275" t="s">
        <v>36</v>
      </c>
      <c r="AQ130" s="275" t="s">
        <v>40</v>
      </c>
      <c r="AR130" s="275" t="s">
        <v>41</v>
      </c>
    </row>
    <row r="131" spans="1:44" ht="30" customHeight="1">
      <c r="A131" s="513"/>
      <c r="B131" s="515"/>
      <c r="C131" s="560"/>
      <c r="D131" s="567"/>
      <c r="E131" s="368" t="s">
        <v>552</v>
      </c>
      <c r="F131" s="40" t="s">
        <v>553</v>
      </c>
      <c r="G131" s="224" t="s">
        <v>554</v>
      </c>
      <c r="H131" s="249" t="s">
        <v>555</v>
      </c>
      <c r="I131" s="224" t="s">
        <v>556</v>
      </c>
      <c r="J131" s="221" t="s">
        <v>58</v>
      </c>
      <c r="K131" s="224" t="s">
        <v>554</v>
      </c>
      <c r="L131" s="250" t="s">
        <v>248</v>
      </c>
      <c r="M131" s="38" t="s">
        <v>557</v>
      </c>
      <c r="N131" s="288" t="s">
        <v>558</v>
      </c>
      <c r="O131" s="408"/>
      <c r="P131" s="430" t="s">
        <v>252</v>
      </c>
      <c r="Q131" s="395" t="s">
        <v>864</v>
      </c>
      <c r="R131" s="102"/>
      <c r="V131" s="291" t="s">
        <v>551</v>
      </c>
      <c r="W131" s="256">
        <f t="shared" ref="W131:AB131" si="116">COUNTIF($E130:$N130,W130)</f>
        <v>6</v>
      </c>
      <c r="X131" s="256">
        <f t="shared" si="116"/>
        <v>2</v>
      </c>
      <c r="Y131" s="256">
        <f t="shared" si="116"/>
        <v>0</v>
      </c>
      <c r="Z131" s="256">
        <f t="shared" si="116"/>
        <v>0</v>
      </c>
      <c r="AA131" s="256">
        <f t="shared" si="116"/>
        <v>1</v>
      </c>
      <c r="AB131" s="256">
        <f t="shared" si="116"/>
        <v>1</v>
      </c>
      <c r="AC131" s="264"/>
      <c r="AD131" s="291" t="s">
        <v>551</v>
      </c>
      <c r="AE131" s="256" t="e">
        <f ca="1">colorcount($E131:$N131,$S$3)+colorcount($E131:$N131,$S$4)+colorcount($E131:$N131,$S$5)+colorcount($E131:$N131,$S$6)+colorcount($E131:$N131,$S$7)+colorcount($E131:$N131,$S$9)+colorcount($E131:$N131,$S$10)+colorcount($E131:$N131,$S$11)+colorcount($E131:$N131,$S$12)</f>
        <v>#NAME?</v>
      </c>
      <c r="AF131" s="256" t="e">
        <f ca="1">colorcount($E131:$N131,$S$15)</f>
        <v>#NAME?</v>
      </c>
      <c r="AG131" s="256" t="e">
        <f ca="1">colorcount($E131:$N131,$S$17)+colorcount($E131:$N131,$S$18)+colorcount($E131:$N131,$S$19)+colorcount($E131:$N131,$S$20)+colorcount($E131:$N131,$S$21)</f>
        <v>#NAME?</v>
      </c>
      <c r="AH131" s="256" t="e">
        <f ca="1">colorcount($E131:$N131,$S$23)</f>
        <v>#NAME?</v>
      </c>
      <c r="AI131" s="256" t="e">
        <f ca="1">colorcount($E131:$N131,$S$26)</f>
        <v>#NAME?</v>
      </c>
      <c r="AJ131" s="256" t="e">
        <f ca="1">colorcount($E131:$N131,$S$28)</f>
        <v>#NAME?</v>
      </c>
      <c r="AK131" s="264"/>
      <c r="AL131" s="291" t="s">
        <v>551</v>
      </c>
      <c r="AM131" s="277" t="e">
        <f t="shared" ref="AM131:AR131" ca="1" si="117">IF(W131=AE131,"O","X")</f>
        <v>#NAME?</v>
      </c>
      <c r="AN131" s="277" t="e">
        <f t="shared" ca="1" si="117"/>
        <v>#NAME?</v>
      </c>
      <c r="AO131" s="277" t="e">
        <f t="shared" ca="1" si="117"/>
        <v>#NAME?</v>
      </c>
      <c r="AP131" s="277" t="e">
        <f t="shared" ca="1" si="117"/>
        <v>#NAME?</v>
      </c>
      <c r="AQ131" s="277" t="e">
        <f t="shared" ca="1" si="117"/>
        <v>#NAME?</v>
      </c>
      <c r="AR131" s="277" t="e">
        <f t="shared" ca="1" si="117"/>
        <v>#NAME?</v>
      </c>
    </row>
    <row r="132" spans="1:44" ht="14.1" customHeight="1">
      <c r="A132" s="513" t="s">
        <v>560</v>
      </c>
      <c r="B132" s="552" t="s">
        <v>561</v>
      </c>
      <c r="C132" s="560"/>
      <c r="D132" s="567"/>
      <c r="E132" s="363" t="s">
        <v>35</v>
      </c>
      <c r="F132" s="215" t="s">
        <v>34</v>
      </c>
      <c r="G132" s="215" t="s">
        <v>35</v>
      </c>
      <c r="H132" s="215" t="s">
        <v>34</v>
      </c>
      <c r="I132" s="215" t="s">
        <v>35</v>
      </c>
      <c r="J132" s="215" t="s">
        <v>35</v>
      </c>
      <c r="K132" s="215" t="s">
        <v>39</v>
      </c>
      <c r="L132" s="215" t="s">
        <v>35</v>
      </c>
      <c r="M132" s="215" t="s">
        <v>35</v>
      </c>
      <c r="N132" s="241" t="s">
        <v>35</v>
      </c>
      <c r="O132" s="352"/>
      <c r="P132" s="353"/>
      <c r="Q132" s="356"/>
      <c r="R132" s="102"/>
      <c r="V132" s="253" t="s">
        <v>38</v>
      </c>
      <c r="W132" s="253" t="s">
        <v>35</v>
      </c>
      <c r="X132" s="253" t="s">
        <v>39</v>
      </c>
      <c r="Y132" s="275" t="s">
        <v>34</v>
      </c>
      <c r="Z132" s="275" t="s">
        <v>36</v>
      </c>
      <c r="AA132" s="275" t="s">
        <v>40</v>
      </c>
      <c r="AB132" s="275" t="s">
        <v>41</v>
      </c>
      <c r="AC132" s="264"/>
      <c r="AD132" s="253" t="s">
        <v>38</v>
      </c>
      <c r="AE132" s="253" t="s">
        <v>35</v>
      </c>
      <c r="AF132" s="253" t="s">
        <v>39</v>
      </c>
      <c r="AG132" s="275" t="s">
        <v>34</v>
      </c>
      <c r="AH132" s="275" t="s">
        <v>36</v>
      </c>
      <c r="AI132" s="275" t="s">
        <v>40</v>
      </c>
      <c r="AJ132" s="275" t="s">
        <v>41</v>
      </c>
      <c r="AK132" s="264"/>
      <c r="AL132" s="253" t="s">
        <v>38</v>
      </c>
      <c r="AM132" s="276" t="s">
        <v>35</v>
      </c>
      <c r="AN132" s="276" t="s">
        <v>39</v>
      </c>
      <c r="AO132" s="275" t="s">
        <v>34</v>
      </c>
      <c r="AP132" s="275" t="s">
        <v>36</v>
      </c>
      <c r="AQ132" s="275" t="s">
        <v>40</v>
      </c>
      <c r="AR132" s="275" t="s">
        <v>41</v>
      </c>
    </row>
    <row r="133" spans="1:44" ht="30" customHeight="1">
      <c r="A133" s="513"/>
      <c r="B133" s="552"/>
      <c r="C133" s="560"/>
      <c r="D133" s="567"/>
      <c r="E133" s="37" t="s">
        <v>562</v>
      </c>
      <c r="F133" s="39" t="s">
        <v>234</v>
      </c>
      <c r="G133" s="456" t="s">
        <v>563</v>
      </c>
      <c r="H133" s="39" t="s">
        <v>240</v>
      </c>
      <c r="I133" s="50" t="s">
        <v>1534</v>
      </c>
      <c r="J133" s="40" t="s">
        <v>564</v>
      </c>
      <c r="K133" s="221" t="s">
        <v>59</v>
      </c>
      <c r="L133" s="456" t="s">
        <v>565</v>
      </c>
      <c r="M133" s="38" t="s">
        <v>566</v>
      </c>
      <c r="N133" s="77" t="s">
        <v>567</v>
      </c>
      <c r="O133" s="408"/>
      <c r="P133" s="419" t="s">
        <v>423</v>
      </c>
      <c r="Q133" s="395" t="s">
        <v>864</v>
      </c>
      <c r="R133" s="102"/>
      <c r="V133" s="292" t="s">
        <v>561</v>
      </c>
      <c r="W133" s="256">
        <f t="shared" ref="W133:AB133" si="118">COUNTIF($E132:$N132,W132)</f>
        <v>7</v>
      </c>
      <c r="X133" s="256">
        <f t="shared" si="118"/>
        <v>1</v>
      </c>
      <c r="Y133" s="256">
        <f t="shared" si="118"/>
        <v>2</v>
      </c>
      <c r="Z133" s="256">
        <f t="shared" si="118"/>
        <v>0</v>
      </c>
      <c r="AA133" s="256">
        <f t="shared" si="118"/>
        <v>0</v>
      </c>
      <c r="AB133" s="256">
        <f t="shared" si="118"/>
        <v>0</v>
      </c>
      <c r="AC133" s="264"/>
      <c r="AD133" s="292" t="s">
        <v>561</v>
      </c>
      <c r="AE133" s="256" t="e">
        <f ca="1">colorcount($E133:$N133,$S$3)+colorcount($E133:$N133,$S$4)+colorcount($E133:$N133,$S$5)+colorcount($E133:$N133,$S$6)+colorcount($E133:$N133,$S$7)+colorcount($E133:$N133,$S$9)+colorcount($E133:$N133,$S$10)+colorcount($E133:$N133,$S$11)+colorcount($E133:$N133,$S$12)</f>
        <v>#NAME?</v>
      </c>
      <c r="AF133" s="256" t="e">
        <f ca="1">colorcount($E133:$N133,$S$15)</f>
        <v>#NAME?</v>
      </c>
      <c r="AG133" s="256" t="e">
        <f ca="1">colorcount($E133:$N133,$S$17)+colorcount($E133:$N133,$S$18)+colorcount($E133:$N133,$S$19)+colorcount($E133:$N133,$S$20)+colorcount($E133:$N133,$S$21)</f>
        <v>#NAME?</v>
      </c>
      <c r="AH133" s="256" t="e">
        <f ca="1">colorcount($E133:$N133,$S$23)</f>
        <v>#NAME?</v>
      </c>
      <c r="AI133" s="256" t="e">
        <f ca="1">colorcount($E133:$N133,$S$26)</f>
        <v>#NAME?</v>
      </c>
      <c r="AJ133" s="256" t="e">
        <f ca="1">colorcount($E133:$N133,$S$28)</f>
        <v>#NAME?</v>
      </c>
      <c r="AK133" s="264"/>
      <c r="AL133" s="292" t="s">
        <v>561</v>
      </c>
      <c r="AM133" s="277" t="e">
        <f t="shared" ref="AM133:AR133" ca="1" si="119">IF(W133=AE133,"O","X")</f>
        <v>#NAME?</v>
      </c>
      <c r="AN133" s="277" t="e">
        <f t="shared" ca="1" si="119"/>
        <v>#NAME?</v>
      </c>
      <c r="AO133" s="277" t="e">
        <f t="shared" ca="1" si="119"/>
        <v>#NAME?</v>
      </c>
      <c r="AP133" s="277" t="e">
        <f t="shared" ca="1" si="119"/>
        <v>#NAME?</v>
      </c>
      <c r="AQ133" s="277" t="e">
        <f t="shared" ca="1" si="119"/>
        <v>#NAME?</v>
      </c>
      <c r="AR133" s="277" t="e">
        <f t="shared" ca="1" si="119"/>
        <v>#NAME?</v>
      </c>
    </row>
    <row r="134" spans="1:44" ht="30" customHeight="1">
      <c r="A134" s="212"/>
      <c r="B134" s="278" t="s">
        <v>219</v>
      </c>
      <c r="C134" s="213"/>
      <c r="D134" s="360"/>
      <c r="E134" s="364" t="s">
        <v>48</v>
      </c>
      <c r="F134" s="217" t="s">
        <v>48</v>
      </c>
      <c r="G134" s="217" t="s">
        <v>48</v>
      </c>
      <c r="H134" s="217" t="s">
        <v>48</v>
      </c>
      <c r="I134" s="217" t="s">
        <v>48</v>
      </c>
      <c r="J134" s="217" t="s">
        <v>48</v>
      </c>
      <c r="K134" s="44" t="s">
        <v>568</v>
      </c>
      <c r="L134" s="217" t="s">
        <v>48</v>
      </c>
      <c r="M134" s="217" t="s">
        <v>48</v>
      </c>
      <c r="N134" s="242" t="s">
        <v>48</v>
      </c>
      <c r="O134" s="408"/>
      <c r="P134" s="353"/>
      <c r="Q134" s="356"/>
      <c r="R134" s="102"/>
      <c r="V134" s="292"/>
      <c r="W134" s="256"/>
      <c r="X134" s="256"/>
      <c r="Y134" s="256"/>
      <c r="Z134" s="256"/>
      <c r="AA134" s="256"/>
      <c r="AB134" s="256"/>
      <c r="AC134" s="264"/>
      <c r="AD134" s="292"/>
      <c r="AE134" s="256" t="e">
        <f ca="1">colorcount($E134:$N134,$S$3)+colorcount($E134:$N134,$S$4)+colorcount($E134:$N134,$S$5)+colorcount($E134:$N134,$S$6)+colorcount($E134:$N134,$S$7)+colorcount($E134:$N134,$S$9)+colorcount($E134:$N134,$S$10)+colorcount($E134:$N134,$S$11)+colorcount($E134:$N134,$S$12)</f>
        <v>#NAME?</v>
      </c>
      <c r="AF134" s="256"/>
      <c r="AG134" s="256"/>
      <c r="AH134" s="256"/>
      <c r="AI134" s="256"/>
      <c r="AJ134" s="256"/>
      <c r="AK134" s="264"/>
      <c r="AL134" s="292"/>
      <c r="AM134" s="277"/>
      <c r="AN134" s="277"/>
      <c r="AO134" s="277"/>
      <c r="AP134" s="277"/>
      <c r="AQ134" s="277"/>
      <c r="AR134" s="277"/>
    </row>
    <row r="135" spans="1:44" ht="14.1" customHeight="1">
      <c r="A135" s="513" t="s">
        <v>569</v>
      </c>
      <c r="B135" s="552" t="s">
        <v>570</v>
      </c>
      <c r="C135" s="560"/>
      <c r="D135" s="567"/>
      <c r="E135" s="363" t="s">
        <v>35</v>
      </c>
      <c r="F135" s="215" t="s">
        <v>35</v>
      </c>
      <c r="G135" s="215" t="s">
        <v>35</v>
      </c>
      <c r="H135" s="215" t="s">
        <v>35</v>
      </c>
      <c r="I135" s="215" t="s">
        <v>39</v>
      </c>
      <c r="J135" s="215" t="s">
        <v>35</v>
      </c>
      <c r="K135" s="215" t="s">
        <v>35</v>
      </c>
      <c r="L135" s="215" t="s">
        <v>35</v>
      </c>
      <c r="M135" s="215" t="s">
        <v>35</v>
      </c>
      <c r="N135" s="241" t="s">
        <v>35</v>
      </c>
      <c r="O135" s="352"/>
      <c r="P135" s="353"/>
      <c r="Q135" s="356"/>
      <c r="R135" s="102"/>
      <c r="V135" s="253" t="s">
        <v>38</v>
      </c>
      <c r="W135" s="253" t="s">
        <v>35</v>
      </c>
      <c r="X135" s="253" t="s">
        <v>39</v>
      </c>
      <c r="Y135" s="275" t="s">
        <v>34</v>
      </c>
      <c r="Z135" s="275" t="s">
        <v>36</v>
      </c>
      <c r="AA135" s="275" t="s">
        <v>40</v>
      </c>
      <c r="AB135" s="275" t="s">
        <v>41</v>
      </c>
      <c r="AC135" s="264"/>
      <c r="AD135" s="253" t="s">
        <v>38</v>
      </c>
      <c r="AE135" s="253" t="s">
        <v>35</v>
      </c>
      <c r="AF135" s="253" t="s">
        <v>39</v>
      </c>
      <c r="AG135" s="275" t="s">
        <v>34</v>
      </c>
      <c r="AH135" s="275" t="s">
        <v>36</v>
      </c>
      <c r="AI135" s="275" t="s">
        <v>40</v>
      </c>
      <c r="AJ135" s="275" t="s">
        <v>41</v>
      </c>
      <c r="AK135" s="264"/>
      <c r="AL135" s="253" t="s">
        <v>38</v>
      </c>
      <c r="AM135" s="276" t="s">
        <v>35</v>
      </c>
      <c r="AN135" s="276" t="s">
        <v>39</v>
      </c>
      <c r="AO135" s="275" t="s">
        <v>34</v>
      </c>
      <c r="AP135" s="275" t="s">
        <v>36</v>
      </c>
      <c r="AQ135" s="275" t="s">
        <v>40</v>
      </c>
      <c r="AR135" s="275" t="s">
        <v>41</v>
      </c>
    </row>
    <row r="136" spans="1:44" ht="30" customHeight="1">
      <c r="A136" s="513"/>
      <c r="B136" s="552"/>
      <c r="C136" s="560"/>
      <c r="D136" s="567"/>
      <c r="E136" s="458" t="s">
        <v>571</v>
      </c>
      <c r="F136" s="44" t="s">
        <v>572</v>
      </c>
      <c r="G136" s="38" t="s">
        <v>573</v>
      </c>
      <c r="H136" s="42" t="s">
        <v>460</v>
      </c>
      <c r="I136" s="221" t="s">
        <v>235</v>
      </c>
      <c r="J136" s="46" t="s">
        <v>1672</v>
      </c>
      <c r="K136" s="38" t="s">
        <v>1557</v>
      </c>
      <c r="L136" s="38" t="s">
        <v>574</v>
      </c>
      <c r="M136" s="456" t="s">
        <v>575</v>
      </c>
      <c r="N136" s="77" t="s">
        <v>576</v>
      </c>
      <c r="O136" s="408"/>
      <c r="P136" s="430" t="s">
        <v>414</v>
      </c>
      <c r="Q136" s="395" t="s">
        <v>864</v>
      </c>
      <c r="R136" s="102"/>
      <c r="V136" s="293" t="s">
        <v>570</v>
      </c>
      <c r="W136" s="256">
        <f t="shared" ref="W136:AB136" si="120">COUNTIF($E135:$N135,W135)</f>
        <v>9</v>
      </c>
      <c r="X136" s="256">
        <f t="shared" si="120"/>
        <v>1</v>
      </c>
      <c r="Y136" s="256">
        <f t="shared" si="120"/>
        <v>0</v>
      </c>
      <c r="Z136" s="256">
        <f t="shared" si="120"/>
        <v>0</v>
      </c>
      <c r="AA136" s="256">
        <f t="shared" si="120"/>
        <v>0</v>
      </c>
      <c r="AB136" s="256">
        <f t="shared" si="120"/>
        <v>0</v>
      </c>
      <c r="AC136" s="264"/>
      <c r="AD136" s="293" t="s">
        <v>570</v>
      </c>
      <c r="AE136" s="256" t="e">
        <f ca="1">colorcount($E136:$N136,$S$3)+colorcount($E136:$N136,$S$4)+colorcount($E136:$N136,$S$5)+colorcount($E136:$N136,$S$6)+colorcount($E136:$N136,$S$7)+colorcount($E136:$N136,$S$9)+colorcount($E136:$N136,$S$10)+colorcount($E136:$N136,$S$11)+colorcount($E136:$N136,$S$12)</f>
        <v>#NAME?</v>
      </c>
      <c r="AF136" s="256" t="e">
        <f ca="1">colorcount($F136:$N136,$S$15)</f>
        <v>#NAME?</v>
      </c>
      <c r="AG136" s="256" t="e">
        <f ca="1">colorcount($F136:$N136,$S$17)+colorcount($F136:$N136,$S$18)+colorcount($F136:$N136,$S$19)+colorcount($F136:$N136,$S$20)+colorcount($F136:$N136,$S$21)</f>
        <v>#NAME?</v>
      </c>
      <c r="AH136" s="256" t="e">
        <f ca="1">colorcount($F136:$N136,$S$23)</f>
        <v>#NAME?</v>
      </c>
      <c r="AI136" s="256" t="e">
        <f ca="1">colorcount($F136:$N136,$S$26)</f>
        <v>#NAME?</v>
      </c>
      <c r="AJ136" s="256" t="e">
        <f ca="1">colorcount($F136:$N136,$S$28)</f>
        <v>#NAME?</v>
      </c>
      <c r="AK136" s="264"/>
      <c r="AL136" s="293" t="s">
        <v>570</v>
      </c>
      <c r="AM136" s="277" t="e">
        <f t="shared" ref="AM136:AR136" ca="1" si="121">IF(W136=AE136,"O","X")</f>
        <v>#NAME?</v>
      </c>
      <c r="AN136" s="277" t="e">
        <f t="shared" ca="1" si="121"/>
        <v>#NAME?</v>
      </c>
      <c r="AO136" s="277" t="e">
        <f t="shared" ca="1" si="121"/>
        <v>#NAME?</v>
      </c>
      <c r="AP136" s="277" t="e">
        <f t="shared" ca="1" si="121"/>
        <v>#NAME?</v>
      </c>
      <c r="AQ136" s="277" t="e">
        <f t="shared" ca="1" si="121"/>
        <v>#NAME?</v>
      </c>
      <c r="AR136" s="277" t="e">
        <f t="shared" ca="1" si="121"/>
        <v>#NAME?</v>
      </c>
    </row>
    <row r="137" spans="1:44" ht="14.1" customHeight="1">
      <c r="A137" s="513" t="s">
        <v>578</v>
      </c>
      <c r="B137" s="552" t="s">
        <v>579</v>
      </c>
      <c r="C137" s="560"/>
      <c r="D137" s="567"/>
      <c r="E137" s="459" t="s">
        <v>35</v>
      </c>
      <c r="F137" s="215" t="s">
        <v>35</v>
      </c>
      <c r="G137" s="215" t="s">
        <v>35</v>
      </c>
      <c r="H137" s="215" t="s">
        <v>35</v>
      </c>
      <c r="I137" s="215" t="s">
        <v>35</v>
      </c>
      <c r="J137" s="215" t="s">
        <v>35</v>
      </c>
      <c r="K137" s="215" t="s">
        <v>35</v>
      </c>
      <c r="L137" s="215" t="s">
        <v>39</v>
      </c>
      <c r="M137" s="215" t="s">
        <v>35</v>
      </c>
      <c r="N137" s="241" t="s">
        <v>35</v>
      </c>
      <c r="O137" s="352"/>
      <c r="P137" s="353"/>
      <c r="Q137" s="356"/>
      <c r="R137" s="102"/>
      <c r="V137" s="253" t="s">
        <v>38</v>
      </c>
      <c r="W137" s="253" t="s">
        <v>35</v>
      </c>
      <c r="X137" s="253" t="s">
        <v>39</v>
      </c>
      <c r="Y137" s="275" t="s">
        <v>34</v>
      </c>
      <c r="Z137" s="275" t="s">
        <v>36</v>
      </c>
      <c r="AA137" s="275" t="s">
        <v>40</v>
      </c>
      <c r="AB137" s="275" t="s">
        <v>41</v>
      </c>
      <c r="AC137" s="264"/>
      <c r="AD137" s="253" t="s">
        <v>38</v>
      </c>
      <c r="AE137" s="253" t="s">
        <v>35</v>
      </c>
      <c r="AF137" s="253" t="s">
        <v>39</v>
      </c>
      <c r="AG137" s="275" t="s">
        <v>34</v>
      </c>
      <c r="AH137" s="275" t="s">
        <v>36</v>
      </c>
      <c r="AI137" s="275" t="s">
        <v>40</v>
      </c>
      <c r="AJ137" s="275" t="s">
        <v>41</v>
      </c>
      <c r="AK137" s="264"/>
      <c r="AL137" s="253" t="s">
        <v>38</v>
      </c>
      <c r="AM137" s="276" t="s">
        <v>35</v>
      </c>
      <c r="AN137" s="276" t="s">
        <v>39</v>
      </c>
      <c r="AO137" s="275" t="s">
        <v>34</v>
      </c>
      <c r="AP137" s="275" t="s">
        <v>36</v>
      </c>
      <c r="AQ137" s="275" t="s">
        <v>40</v>
      </c>
      <c r="AR137" s="275" t="s">
        <v>41</v>
      </c>
    </row>
    <row r="138" spans="1:44" ht="30" customHeight="1">
      <c r="A138" s="513"/>
      <c r="B138" s="552"/>
      <c r="C138" s="560"/>
      <c r="D138" s="567"/>
      <c r="E138" s="458" t="s">
        <v>580</v>
      </c>
      <c r="F138" s="38" t="s">
        <v>581</v>
      </c>
      <c r="G138" s="456" t="s">
        <v>582</v>
      </c>
      <c r="H138" s="435" t="s">
        <v>1543</v>
      </c>
      <c r="I138" s="456" t="s">
        <v>583</v>
      </c>
      <c r="J138" s="38" t="s">
        <v>584</v>
      </c>
      <c r="K138" s="38" t="s">
        <v>585</v>
      </c>
      <c r="L138" s="221" t="s">
        <v>235</v>
      </c>
      <c r="M138" s="43" t="s">
        <v>586</v>
      </c>
      <c r="N138" s="86" t="s">
        <v>587</v>
      </c>
      <c r="O138" s="408"/>
      <c r="P138" s="430" t="s">
        <v>237</v>
      </c>
      <c r="Q138" s="395" t="s">
        <v>864</v>
      </c>
      <c r="R138" s="102"/>
      <c r="V138" s="283" t="s">
        <v>579</v>
      </c>
      <c r="W138" s="256">
        <f t="shared" ref="W138:AB138" si="122">COUNTIF($E137:$N137,W137)</f>
        <v>9</v>
      </c>
      <c r="X138" s="256">
        <f t="shared" si="122"/>
        <v>1</v>
      </c>
      <c r="Y138" s="256">
        <f t="shared" si="122"/>
        <v>0</v>
      </c>
      <c r="Z138" s="256">
        <f t="shared" si="122"/>
        <v>0</v>
      </c>
      <c r="AA138" s="256">
        <f t="shared" si="122"/>
        <v>0</v>
      </c>
      <c r="AB138" s="256">
        <f t="shared" si="122"/>
        <v>0</v>
      </c>
      <c r="AC138" s="264"/>
      <c r="AD138" s="283" t="s">
        <v>579</v>
      </c>
      <c r="AE138" s="256" t="e">
        <f ca="1">colorcount($E138:$N138,$S$3)+colorcount($E138:$N138,$S$4)+colorcount($E138:$N138,$S$5)+colorcount($E138:$N138,$S$6)+colorcount($E138:$N138,$S$7)+colorcount($E138:$N138,$S$9)+colorcount($E138:$N138,$S$10)+colorcount($E138:$N138,$S$11)+colorcount($E138:$N138,$S$12)</f>
        <v>#NAME?</v>
      </c>
      <c r="AF138" s="256" t="e">
        <f ca="1">colorcount($E138:$N138,$S$15)</f>
        <v>#NAME?</v>
      </c>
      <c r="AG138" s="256" t="e">
        <f ca="1">colorcount($E138:$N138,$S$17)+colorcount($E138:$N138,$S$18)+colorcount($E138:$N138,$S$19)+colorcount($E138:$N138,$S$20)+colorcount($E138:$N138,$S$21)</f>
        <v>#NAME?</v>
      </c>
      <c r="AH138" s="256" t="e">
        <f ca="1">colorcount($E138:$N138,$S$23)</f>
        <v>#NAME?</v>
      </c>
      <c r="AI138" s="256" t="e">
        <f ca="1">colorcount($E138:$N138,$S$26)</f>
        <v>#NAME?</v>
      </c>
      <c r="AJ138" s="256" t="e">
        <f ca="1">colorcount($E138:$N138,$S$28)</f>
        <v>#NAME?</v>
      </c>
      <c r="AK138" s="264"/>
      <c r="AL138" s="283" t="s">
        <v>579</v>
      </c>
      <c r="AM138" s="277" t="e">
        <f t="shared" ref="AM138:AR138" ca="1" si="123">IF(W138=AE138,"O","X")</f>
        <v>#NAME?</v>
      </c>
      <c r="AN138" s="277" t="e">
        <f t="shared" ca="1" si="123"/>
        <v>#NAME?</v>
      </c>
      <c r="AO138" s="277" t="e">
        <f t="shared" ca="1" si="123"/>
        <v>#NAME?</v>
      </c>
      <c r="AP138" s="277" t="e">
        <f t="shared" ca="1" si="123"/>
        <v>#NAME?</v>
      </c>
      <c r="AQ138" s="277" t="e">
        <f t="shared" ca="1" si="123"/>
        <v>#NAME?</v>
      </c>
      <c r="AR138" s="277" t="e">
        <f t="shared" ca="1" si="123"/>
        <v>#NAME?</v>
      </c>
    </row>
    <row r="139" spans="1:44" ht="14.1" customHeight="1">
      <c r="A139" s="513" t="s">
        <v>589</v>
      </c>
      <c r="B139" s="552" t="s">
        <v>590</v>
      </c>
      <c r="C139" s="563"/>
      <c r="D139" s="570"/>
      <c r="E139" s="363" t="s">
        <v>35</v>
      </c>
      <c r="F139" s="215" t="s">
        <v>35</v>
      </c>
      <c r="G139" s="215" t="s">
        <v>35</v>
      </c>
      <c r="H139" s="215" t="s">
        <v>35</v>
      </c>
      <c r="I139" s="215" t="s">
        <v>35</v>
      </c>
      <c r="J139" s="215" t="s">
        <v>35</v>
      </c>
      <c r="K139" s="215" t="s">
        <v>35</v>
      </c>
      <c r="L139" s="215" t="s">
        <v>35</v>
      </c>
      <c r="M139" s="215" t="s">
        <v>35</v>
      </c>
      <c r="N139" s="241" t="s">
        <v>35</v>
      </c>
      <c r="O139" s="352"/>
      <c r="P139" s="353"/>
      <c r="Q139" s="356"/>
      <c r="R139" s="102"/>
      <c r="V139" s="253" t="s">
        <v>38</v>
      </c>
      <c r="W139" s="253" t="s">
        <v>35</v>
      </c>
      <c r="X139" s="253" t="s">
        <v>39</v>
      </c>
      <c r="Y139" s="275" t="s">
        <v>34</v>
      </c>
      <c r="Z139" s="275" t="s">
        <v>36</v>
      </c>
      <c r="AA139" s="275" t="s">
        <v>40</v>
      </c>
      <c r="AB139" s="275" t="s">
        <v>41</v>
      </c>
      <c r="AC139" s="264"/>
      <c r="AD139" s="253" t="s">
        <v>38</v>
      </c>
      <c r="AE139" s="253" t="s">
        <v>35</v>
      </c>
      <c r="AF139" s="253" t="s">
        <v>39</v>
      </c>
      <c r="AG139" s="275" t="s">
        <v>34</v>
      </c>
      <c r="AH139" s="275" t="s">
        <v>36</v>
      </c>
      <c r="AI139" s="275" t="s">
        <v>40</v>
      </c>
      <c r="AJ139" s="275" t="s">
        <v>41</v>
      </c>
      <c r="AK139" s="264"/>
      <c r="AL139" s="253" t="s">
        <v>38</v>
      </c>
      <c r="AM139" s="276" t="s">
        <v>35</v>
      </c>
      <c r="AN139" s="276" t="s">
        <v>39</v>
      </c>
      <c r="AO139" s="275" t="s">
        <v>34</v>
      </c>
      <c r="AP139" s="275" t="s">
        <v>36</v>
      </c>
      <c r="AQ139" s="275" t="s">
        <v>40</v>
      </c>
      <c r="AR139" s="275" t="s">
        <v>41</v>
      </c>
    </row>
    <row r="140" spans="1:44" ht="30" customHeight="1">
      <c r="A140" s="513"/>
      <c r="B140" s="552"/>
      <c r="C140" s="563"/>
      <c r="D140" s="570"/>
      <c r="E140" s="458" t="s">
        <v>591</v>
      </c>
      <c r="F140" s="43" t="s">
        <v>592</v>
      </c>
      <c r="G140" s="40" t="s">
        <v>593</v>
      </c>
      <c r="H140" s="43" t="s">
        <v>594</v>
      </c>
      <c r="I140" s="38" t="s">
        <v>595</v>
      </c>
      <c r="J140" s="38" t="s">
        <v>446</v>
      </c>
      <c r="K140" s="38" t="s">
        <v>596</v>
      </c>
      <c r="L140" s="38" t="s">
        <v>597</v>
      </c>
      <c r="M140" s="38" t="s">
        <v>598</v>
      </c>
      <c r="N140" s="77" t="s">
        <v>599</v>
      </c>
      <c r="O140" s="408"/>
      <c r="P140" s="430" t="s">
        <v>395</v>
      </c>
      <c r="Q140" s="395" t="s">
        <v>864</v>
      </c>
      <c r="R140" s="102"/>
      <c r="V140" s="283" t="s">
        <v>590</v>
      </c>
      <c r="W140" s="256">
        <f t="shared" ref="W140:AB140" si="124">COUNTIF($E139:$N139,W139)</f>
        <v>10</v>
      </c>
      <c r="X140" s="256">
        <f t="shared" si="124"/>
        <v>0</v>
      </c>
      <c r="Y140" s="256">
        <f t="shared" si="124"/>
        <v>0</v>
      </c>
      <c r="Z140" s="256">
        <f t="shared" si="124"/>
        <v>0</v>
      </c>
      <c r="AA140" s="256">
        <f t="shared" si="124"/>
        <v>0</v>
      </c>
      <c r="AB140" s="256">
        <f t="shared" si="124"/>
        <v>0</v>
      </c>
      <c r="AC140" s="264"/>
      <c r="AD140" s="283" t="s">
        <v>590</v>
      </c>
      <c r="AE140" s="256" t="e">
        <f ca="1">colorcount($E140:$N140,$S$3)+colorcount($E140:$N140,$S$4)+colorcount($E140:$N140,$S$5)+colorcount($E140:$N140,$S$6)+colorcount($E140:$N140,$S$7)+colorcount($E140:$N140,$S$9)+colorcount($E140:$N140,$S$10)+colorcount($E140:$N140,$S$11)+colorcount($E140:$N140,$S$12)</f>
        <v>#NAME?</v>
      </c>
      <c r="AF140" s="256" t="e">
        <f ca="1">colorcount($E140:$N140,$S$15)</f>
        <v>#NAME?</v>
      </c>
      <c r="AG140" s="256" t="e">
        <f ca="1">colorcount($E140:$N140,$S$17)+colorcount($E140:$N140,$S$18)+colorcount($E140:$N140,$S$19)+colorcount($E140:$N140,$S$20)+colorcount($E140:$N140,$S$21)</f>
        <v>#NAME?</v>
      </c>
      <c r="AH140" s="256" t="e">
        <f ca="1">colorcount($E140:$N140,$S$23)</f>
        <v>#NAME?</v>
      </c>
      <c r="AI140" s="256" t="e">
        <f ca="1">colorcount($E140:$N140,$S$26)</f>
        <v>#NAME?</v>
      </c>
      <c r="AJ140" s="256" t="e">
        <f ca="1">colorcount($E140:$N140,$S$28)</f>
        <v>#NAME?</v>
      </c>
      <c r="AK140" s="264"/>
      <c r="AL140" s="283" t="s">
        <v>590</v>
      </c>
      <c r="AM140" s="277" t="e">
        <f t="shared" ref="AM140:AR140" ca="1" si="125">IF(W140=AE140,"O","X")</f>
        <v>#NAME?</v>
      </c>
      <c r="AN140" s="277" t="e">
        <f t="shared" ca="1" si="125"/>
        <v>#NAME?</v>
      </c>
      <c r="AO140" s="277" t="e">
        <f t="shared" ca="1" si="125"/>
        <v>#NAME?</v>
      </c>
      <c r="AP140" s="277" t="e">
        <f t="shared" ca="1" si="125"/>
        <v>#NAME?</v>
      </c>
      <c r="AQ140" s="277" t="e">
        <f t="shared" ca="1" si="125"/>
        <v>#NAME?</v>
      </c>
      <c r="AR140" s="277" t="e">
        <f t="shared" ca="1" si="125"/>
        <v>#NAME?</v>
      </c>
    </row>
    <row r="141" spans="1:44" ht="14.1" customHeight="1">
      <c r="A141" s="513" t="s">
        <v>600</v>
      </c>
      <c r="B141" s="552" t="s">
        <v>421</v>
      </c>
      <c r="C141" s="560"/>
      <c r="D141" s="570"/>
      <c r="E141" s="363" t="s">
        <v>35</v>
      </c>
      <c r="F141" s="215" t="s">
        <v>35</v>
      </c>
      <c r="G141" s="215" t="s">
        <v>35</v>
      </c>
      <c r="H141" s="215" t="s">
        <v>35</v>
      </c>
      <c r="I141" s="215" t="s">
        <v>35</v>
      </c>
      <c r="J141" s="215" t="s">
        <v>35</v>
      </c>
      <c r="K141" s="215" t="s">
        <v>35</v>
      </c>
      <c r="L141" s="215" t="s">
        <v>35</v>
      </c>
      <c r="M141" s="215" t="s">
        <v>35</v>
      </c>
      <c r="N141" s="241" t="s">
        <v>35</v>
      </c>
      <c r="O141" s="352"/>
      <c r="P141" s="353"/>
      <c r="Q141" s="356"/>
      <c r="R141" s="102"/>
      <c r="V141" s="253" t="s">
        <v>38</v>
      </c>
      <c r="W141" s="253" t="s">
        <v>35</v>
      </c>
      <c r="X141" s="253" t="s">
        <v>39</v>
      </c>
      <c r="Y141" s="275" t="s">
        <v>34</v>
      </c>
      <c r="Z141" s="275" t="s">
        <v>36</v>
      </c>
      <c r="AA141" s="275" t="s">
        <v>40</v>
      </c>
      <c r="AB141" s="275" t="s">
        <v>41</v>
      </c>
      <c r="AC141" s="264"/>
      <c r="AD141" s="253" t="s">
        <v>38</v>
      </c>
      <c r="AE141" s="253" t="s">
        <v>35</v>
      </c>
      <c r="AF141" s="253" t="s">
        <v>39</v>
      </c>
      <c r="AG141" s="275" t="s">
        <v>34</v>
      </c>
      <c r="AH141" s="275" t="s">
        <v>36</v>
      </c>
      <c r="AI141" s="275" t="s">
        <v>40</v>
      </c>
      <c r="AJ141" s="275" t="s">
        <v>41</v>
      </c>
      <c r="AK141" s="264"/>
      <c r="AL141" s="253" t="s">
        <v>38</v>
      </c>
      <c r="AM141" s="276" t="s">
        <v>35</v>
      </c>
      <c r="AN141" s="276" t="s">
        <v>39</v>
      </c>
      <c r="AO141" s="275" t="s">
        <v>34</v>
      </c>
      <c r="AP141" s="275" t="s">
        <v>36</v>
      </c>
      <c r="AQ141" s="275" t="s">
        <v>40</v>
      </c>
      <c r="AR141" s="275" t="s">
        <v>41</v>
      </c>
    </row>
    <row r="142" spans="1:44" ht="30" customHeight="1">
      <c r="A142" s="513"/>
      <c r="B142" s="552"/>
      <c r="C142" s="560"/>
      <c r="D142" s="570"/>
      <c r="E142" s="37" t="s">
        <v>601</v>
      </c>
      <c r="F142" s="38" t="s">
        <v>602</v>
      </c>
      <c r="G142" s="38" t="s">
        <v>603</v>
      </c>
      <c r="H142" s="38" t="s">
        <v>604</v>
      </c>
      <c r="I142" s="435" t="s">
        <v>1603</v>
      </c>
      <c r="J142" s="43" t="s">
        <v>605</v>
      </c>
      <c r="K142" s="38" t="s">
        <v>606</v>
      </c>
      <c r="L142" s="38" t="s">
        <v>607</v>
      </c>
      <c r="M142" s="46" t="s">
        <v>1607</v>
      </c>
      <c r="N142" s="77" t="s">
        <v>608</v>
      </c>
      <c r="O142" s="408"/>
      <c r="P142" s="430" t="s">
        <v>319</v>
      </c>
      <c r="Q142" s="395" t="s">
        <v>864</v>
      </c>
      <c r="R142" s="102"/>
      <c r="V142" s="284" t="s">
        <v>609</v>
      </c>
      <c r="W142" s="256">
        <f t="shared" ref="W142:AB142" si="126">COUNTIF($E141:$N141,W141)</f>
        <v>10</v>
      </c>
      <c r="X142" s="256">
        <f t="shared" si="126"/>
        <v>0</v>
      </c>
      <c r="Y142" s="256">
        <f t="shared" si="126"/>
        <v>0</v>
      </c>
      <c r="Z142" s="256">
        <f t="shared" si="126"/>
        <v>0</v>
      </c>
      <c r="AA142" s="256">
        <f t="shared" si="126"/>
        <v>0</v>
      </c>
      <c r="AB142" s="256">
        <f t="shared" si="126"/>
        <v>0</v>
      </c>
      <c r="AC142" s="264"/>
      <c r="AD142" s="284" t="s">
        <v>609</v>
      </c>
      <c r="AE142" s="256" t="e">
        <f ca="1">colorcount($E142:$N142,$S$3)+colorcount($E142:$N142,$S$4)+colorcount($E142:$N142,$S$5)+colorcount($E142:$N142,$S$6)+colorcount($E142:$N142,$S$7)+colorcount($E142:$N142,$S$9)+colorcount($E142:$N142,$S$10)+colorcount($E142:$N142,$S$11)+colorcount($E142:$N142,$S$12)</f>
        <v>#NAME?</v>
      </c>
      <c r="AF142" s="256" t="e">
        <f ca="1">colorcount($E142:$N142,$S$15)</f>
        <v>#NAME?</v>
      </c>
      <c r="AG142" s="256" t="e">
        <f ca="1">colorcount($E142:$N142,$S$17)+colorcount($E142:$N142,$S$18)+colorcount($E142:$N142,$S$19)+colorcount($E142:$N142,$S$20)+colorcount($E142:$N142,$S$21)</f>
        <v>#NAME?</v>
      </c>
      <c r="AH142" s="256" t="e">
        <f ca="1">colorcount($E142:$N142,$S$23)</f>
        <v>#NAME?</v>
      </c>
      <c r="AI142" s="256" t="e">
        <f ca="1">colorcount($E142:$N142,$S$26)</f>
        <v>#NAME?</v>
      </c>
      <c r="AJ142" s="256" t="e">
        <f ca="1">colorcount($E142:$N142,$S$28)</f>
        <v>#NAME?</v>
      </c>
      <c r="AK142" s="264"/>
      <c r="AL142" s="284" t="s">
        <v>609</v>
      </c>
      <c r="AM142" s="277" t="e">
        <f t="shared" ref="AM142:AR142" ca="1" si="127">IF(W142=AE142,"O","X")</f>
        <v>#NAME?</v>
      </c>
      <c r="AN142" s="277" t="e">
        <f t="shared" ca="1" si="127"/>
        <v>#NAME?</v>
      </c>
      <c r="AO142" s="277" t="e">
        <f t="shared" ca="1" si="127"/>
        <v>#NAME?</v>
      </c>
      <c r="AP142" s="277" t="e">
        <f t="shared" ca="1" si="127"/>
        <v>#NAME?</v>
      </c>
      <c r="AQ142" s="277" t="e">
        <f t="shared" ca="1" si="127"/>
        <v>#NAME?</v>
      </c>
      <c r="AR142" s="277" t="e">
        <f t="shared" ca="1" si="127"/>
        <v>#NAME?</v>
      </c>
    </row>
    <row r="143" spans="1:44" ht="12" customHeight="1">
      <c r="A143" s="513" t="s">
        <v>610</v>
      </c>
      <c r="B143" s="555" t="s">
        <v>611</v>
      </c>
      <c r="C143" s="560"/>
      <c r="D143" s="567"/>
      <c r="E143" s="363" t="s">
        <v>35</v>
      </c>
      <c r="F143" s="215" t="s">
        <v>35</v>
      </c>
      <c r="G143" s="215" t="s">
        <v>35</v>
      </c>
      <c r="H143" s="215" t="s">
        <v>35</v>
      </c>
      <c r="I143" s="215" t="s">
        <v>35</v>
      </c>
      <c r="J143" s="215" t="s">
        <v>35</v>
      </c>
      <c r="K143" s="215" t="s">
        <v>35</v>
      </c>
      <c r="L143" s="215" t="s">
        <v>35</v>
      </c>
      <c r="M143" s="215" t="s">
        <v>35</v>
      </c>
      <c r="N143" s="241" t="s">
        <v>35</v>
      </c>
      <c r="O143" s="413"/>
      <c r="P143" s="147"/>
      <c r="Q143" s="158"/>
      <c r="R143" s="102"/>
      <c r="V143" s="253" t="s">
        <v>38</v>
      </c>
      <c r="W143" s="253" t="s">
        <v>35</v>
      </c>
      <c r="X143" s="253" t="s">
        <v>39</v>
      </c>
      <c r="Y143" s="275" t="s">
        <v>34</v>
      </c>
      <c r="Z143" s="275" t="s">
        <v>36</v>
      </c>
      <c r="AA143" s="275" t="s">
        <v>40</v>
      </c>
      <c r="AB143" s="275" t="s">
        <v>41</v>
      </c>
      <c r="AC143" s="264"/>
      <c r="AD143" s="253" t="s">
        <v>38</v>
      </c>
      <c r="AE143" s="253" t="s">
        <v>35</v>
      </c>
      <c r="AF143" s="253" t="s">
        <v>39</v>
      </c>
      <c r="AG143" s="275" t="s">
        <v>34</v>
      </c>
      <c r="AH143" s="275" t="s">
        <v>36</v>
      </c>
      <c r="AI143" s="275" t="s">
        <v>40</v>
      </c>
      <c r="AJ143" s="275" t="s">
        <v>41</v>
      </c>
      <c r="AL143" s="253" t="s">
        <v>38</v>
      </c>
      <c r="AM143" s="276" t="s">
        <v>35</v>
      </c>
      <c r="AN143" s="276" t="s">
        <v>39</v>
      </c>
      <c r="AO143" s="275" t="s">
        <v>34</v>
      </c>
      <c r="AP143" s="275" t="s">
        <v>36</v>
      </c>
      <c r="AQ143" s="275" t="s">
        <v>40</v>
      </c>
      <c r="AR143" s="275" t="s">
        <v>41</v>
      </c>
    </row>
    <row r="144" spans="1:44" ht="30" customHeight="1" thickBot="1">
      <c r="A144" s="513"/>
      <c r="B144" s="555"/>
      <c r="C144" s="560"/>
      <c r="D144" s="567"/>
      <c r="E144" s="454" t="s">
        <v>1591</v>
      </c>
      <c r="F144" s="38" t="s">
        <v>480</v>
      </c>
      <c r="G144" s="38" t="s">
        <v>612</v>
      </c>
      <c r="H144" s="42" t="s">
        <v>613</v>
      </c>
      <c r="I144" s="38" t="s">
        <v>614</v>
      </c>
      <c r="J144" s="456" t="s">
        <v>504</v>
      </c>
      <c r="K144" s="38" t="s">
        <v>615</v>
      </c>
      <c r="L144" s="87" t="s">
        <v>1657</v>
      </c>
      <c r="M144" s="46" t="s">
        <v>1774</v>
      </c>
      <c r="N144" s="77" t="s">
        <v>616</v>
      </c>
      <c r="O144" s="413"/>
      <c r="P144" s="355" t="s">
        <v>468</v>
      </c>
      <c r="Q144" s="394" t="s">
        <v>864</v>
      </c>
      <c r="R144" s="102"/>
      <c r="V144" s="284" t="s">
        <v>611</v>
      </c>
      <c r="W144" s="256">
        <f t="shared" ref="W144:AB144" si="128">COUNTIF($E143:$N143,W143)</f>
        <v>10</v>
      </c>
      <c r="X144" s="256">
        <f t="shared" si="128"/>
        <v>0</v>
      </c>
      <c r="Y144" s="256">
        <f t="shared" si="128"/>
        <v>0</v>
      </c>
      <c r="Z144" s="256">
        <f t="shared" si="128"/>
        <v>0</v>
      </c>
      <c r="AA144" s="256">
        <f t="shared" si="128"/>
        <v>0</v>
      </c>
      <c r="AB144" s="256">
        <f t="shared" si="128"/>
        <v>0</v>
      </c>
      <c r="AD144" s="284" t="s">
        <v>611</v>
      </c>
      <c r="AE144" s="256" t="e">
        <f ca="1">colorcount($E144:$N144,$S$3)+colorcount($E144:$N144,$S$4)+colorcount($E144:$N144,$S$5)+colorcount($E144:$N144,$S$6)+colorcount($E144:$N144,$S$7)+colorcount($E144:$N144,$S$9)+colorcount($E144:$N144,$S$10)+colorcount($E144:$N144,$S$11)+colorcount($E144:$N144,$S$12)</f>
        <v>#NAME?</v>
      </c>
      <c r="AF144" s="256" t="e">
        <f ca="1">colorcount($E144:$N144,$S$15)</f>
        <v>#NAME?</v>
      </c>
      <c r="AG144" s="256" t="e">
        <f ca="1">colorcount($E144:$N144,$S$17)+colorcount($E144:$N144,$S$18)+colorcount($E144:$N144,$S$19)+colorcount($E144:$N144,$S$20)+colorcount($E144:$N144,$S$21)</f>
        <v>#NAME?</v>
      </c>
      <c r="AH144" s="256" t="e">
        <f ca="1">colorcount($E144:$N144,$S$23)</f>
        <v>#NAME?</v>
      </c>
      <c r="AI144" s="256" t="e">
        <f ca="1">colorcount($E144:$N144,$S$26)</f>
        <v>#NAME?</v>
      </c>
      <c r="AJ144" s="256" t="e">
        <f ca="1">colorcount($E144:$N144,$S$28)</f>
        <v>#NAME?</v>
      </c>
      <c r="AL144" s="284" t="s">
        <v>611</v>
      </c>
      <c r="AM144" s="277" t="e">
        <f t="shared" ref="AM144:AR144" ca="1" si="129">IF(W144=AE144,"O","X")</f>
        <v>#NAME?</v>
      </c>
      <c r="AN144" s="277" t="e">
        <f t="shared" ca="1" si="129"/>
        <v>#NAME?</v>
      </c>
      <c r="AO144" s="277" t="e">
        <f t="shared" ca="1" si="129"/>
        <v>#NAME?</v>
      </c>
      <c r="AP144" s="277" t="e">
        <f t="shared" ca="1" si="129"/>
        <v>#NAME?</v>
      </c>
      <c r="AQ144" s="277" t="e">
        <f t="shared" ca="1" si="129"/>
        <v>#NAME?</v>
      </c>
      <c r="AR144" s="277" t="e">
        <f t="shared" ca="1" si="129"/>
        <v>#NAME?</v>
      </c>
    </row>
    <row r="145" spans="1:44" ht="12" customHeight="1">
      <c r="A145" s="513" t="s">
        <v>617</v>
      </c>
      <c r="B145" s="556" t="s">
        <v>618</v>
      </c>
      <c r="C145" s="560"/>
      <c r="D145" s="567"/>
      <c r="E145" s="363" t="s">
        <v>35</v>
      </c>
      <c r="F145" s="215" t="s">
        <v>35</v>
      </c>
      <c r="G145" s="240" t="s">
        <v>35</v>
      </c>
      <c r="H145" s="240" t="s">
        <v>35</v>
      </c>
      <c r="I145" s="215" t="s">
        <v>35</v>
      </c>
      <c r="J145" s="215" t="s">
        <v>35</v>
      </c>
      <c r="K145" s="215" t="s">
        <v>35</v>
      </c>
      <c r="L145" s="215" t="s">
        <v>35</v>
      </c>
      <c r="M145" s="215" t="s">
        <v>35</v>
      </c>
      <c r="N145" s="241" t="s">
        <v>35</v>
      </c>
      <c r="O145" s="408"/>
      <c r="P145" s="437"/>
      <c r="Q145" s="438"/>
      <c r="R145" s="102"/>
      <c r="V145" s="253" t="s">
        <v>38</v>
      </c>
      <c r="W145" s="253" t="s">
        <v>35</v>
      </c>
      <c r="X145" s="253" t="s">
        <v>39</v>
      </c>
      <c r="Y145" s="275" t="s">
        <v>34</v>
      </c>
      <c r="Z145" s="275" t="s">
        <v>36</v>
      </c>
      <c r="AA145" s="275" t="s">
        <v>40</v>
      </c>
      <c r="AB145" s="275" t="s">
        <v>41</v>
      </c>
      <c r="AD145" s="253" t="s">
        <v>38</v>
      </c>
      <c r="AE145" s="253" t="s">
        <v>35</v>
      </c>
      <c r="AF145" s="253" t="s">
        <v>39</v>
      </c>
      <c r="AG145" s="275" t="s">
        <v>34</v>
      </c>
      <c r="AH145" s="275" t="s">
        <v>36</v>
      </c>
      <c r="AI145" s="275" t="s">
        <v>40</v>
      </c>
      <c r="AJ145" s="275" t="s">
        <v>41</v>
      </c>
      <c r="AL145" s="253" t="s">
        <v>38</v>
      </c>
      <c r="AM145" s="276" t="s">
        <v>35</v>
      </c>
      <c r="AN145" s="276" t="s">
        <v>39</v>
      </c>
      <c r="AO145" s="275" t="s">
        <v>34</v>
      </c>
      <c r="AP145" s="275" t="s">
        <v>36</v>
      </c>
      <c r="AQ145" s="275" t="s">
        <v>40</v>
      </c>
      <c r="AR145" s="275" t="s">
        <v>41</v>
      </c>
    </row>
    <row r="146" spans="1:44" ht="30" customHeight="1">
      <c r="A146" s="513"/>
      <c r="B146" s="556"/>
      <c r="C146" s="560"/>
      <c r="D146" s="567"/>
      <c r="E146" s="51" t="s">
        <v>1606</v>
      </c>
      <c r="F146" s="38" t="s">
        <v>619</v>
      </c>
      <c r="G146" s="38" t="s">
        <v>620</v>
      </c>
      <c r="H146" s="456" t="s">
        <v>621</v>
      </c>
      <c r="I146" s="46" t="s">
        <v>1620</v>
      </c>
      <c r="J146" s="46" t="s">
        <v>1623</v>
      </c>
      <c r="K146" s="38" t="s">
        <v>622</v>
      </c>
      <c r="L146" s="456" t="s">
        <v>623</v>
      </c>
      <c r="M146" s="38" t="s">
        <v>624</v>
      </c>
      <c r="N146" s="77" t="s">
        <v>625</v>
      </c>
      <c r="O146" s="408"/>
      <c r="P146" s="425"/>
      <c r="Q146" s="420" t="s">
        <v>48</v>
      </c>
      <c r="R146" s="102"/>
      <c r="V146" s="283" t="s">
        <v>618</v>
      </c>
      <c r="W146" s="256">
        <f t="shared" ref="W146:AB146" si="130">COUNTIF($E145:$N145,W145)</f>
        <v>10</v>
      </c>
      <c r="X146" s="256">
        <f t="shared" si="130"/>
        <v>0</v>
      </c>
      <c r="Y146" s="256">
        <f t="shared" si="130"/>
        <v>0</v>
      </c>
      <c r="Z146" s="256">
        <f t="shared" si="130"/>
        <v>0</v>
      </c>
      <c r="AA146" s="256">
        <f t="shared" si="130"/>
        <v>0</v>
      </c>
      <c r="AB146" s="256">
        <f t="shared" si="130"/>
        <v>0</v>
      </c>
      <c r="AD146" s="283" t="s">
        <v>618</v>
      </c>
      <c r="AE146" s="256" t="e">
        <f ca="1">colorcount($E146:$N146,$S$3)+colorcount($E146:$N146,$S$4)+colorcount($E146:$N146,$S$5)+colorcount($E146:$N146,$S$6)+colorcount($E146:$N146,$S$7)+colorcount($E146:$N146,$S$9)+colorcount($E146:$N146,$S$10)+colorcount($E146:$N146,$S$11)+colorcount($E146:$N146,$S$12)</f>
        <v>#NAME?</v>
      </c>
      <c r="AF146" s="256" t="e">
        <f ca="1">colorcount($E146:$N146,$S$15)</f>
        <v>#NAME?</v>
      </c>
      <c r="AG146" s="256" t="e">
        <f ca="1">colorcount($E146:$N146,$S$17)+colorcount($E146:$N146,$S$18)+colorcount($E146:$N146,$S$19)+colorcount($E146:$N146,$S$20)+colorcount($E146:$N146,$S$21)</f>
        <v>#NAME?</v>
      </c>
      <c r="AH146" s="256" t="e">
        <f ca="1">colorcount($E146:$N146,$S$23)</f>
        <v>#NAME?</v>
      </c>
      <c r="AI146" s="256" t="e">
        <f ca="1">colorcount($E146:$N146,$S$26)</f>
        <v>#NAME?</v>
      </c>
      <c r="AJ146" s="256" t="e">
        <f ca="1">colorcount($E146:$N146,$S$28)</f>
        <v>#NAME?</v>
      </c>
      <c r="AL146" s="283" t="s">
        <v>618</v>
      </c>
      <c r="AM146" s="277" t="e">
        <f t="shared" ref="AM146:AR146" ca="1" si="131">IF(W146=AE146,"O","X")</f>
        <v>#NAME?</v>
      </c>
      <c r="AN146" s="277" t="e">
        <f t="shared" ca="1" si="131"/>
        <v>#NAME?</v>
      </c>
      <c r="AO146" s="277" t="e">
        <f t="shared" ca="1" si="131"/>
        <v>#NAME?</v>
      </c>
      <c r="AP146" s="277" t="e">
        <f t="shared" ca="1" si="131"/>
        <v>#NAME?</v>
      </c>
      <c r="AQ146" s="277" t="e">
        <f t="shared" ca="1" si="131"/>
        <v>#NAME?</v>
      </c>
      <c r="AR146" s="277" t="e">
        <f t="shared" ca="1" si="131"/>
        <v>#NAME?</v>
      </c>
    </row>
    <row r="147" spans="1:44" ht="14.1" customHeight="1">
      <c r="A147" s="513" t="s">
        <v>626</v>
      </c>
      <c r="B147" s="553" t="s">
        <v>627</v>
      </c>
      <c r="C147" s="560"/>
      <c r="D147" s="567"/>
      <c r="E147" s="363" t="s">
        <v>35</v>
      </c>
      <c r="F147" s="460" t="s">
        <v>35</v>
      </c>
      <c r="G147" s="215" t="s">
        <v>35</v>
      </c>
      <c r="H147" s="215" t="s">
        <v>35</v>
      </c>
      <c r="I147" s="215" t="s">
        <v>35</v>
      </c>
      <c r="J147" s="215" t="s">
        <v>35</v>
      </c>
      <c r="K147" s="215" t="s">
        <v>35</v>
      </c>
      <c r="L147" s="215" t="s">
        <v>35</v>
      </c>
      <c r="M147" s="460" t="s">
        <v>35</v>
      </c>
      <c r="N147" s="241" t="s">
        <v>35</v>
      </c>
      <c r="O147" s="352"/>
      <c r="P147" s="353"/>
      <c r="Q147" s="356"/>
      <c r="R147" s="102"/>
      <c r="V147" s="253" t="s">
        <v>38</v>
      </c>
      <c r="W147" s="253" t="s">
        <v>35</v>
      </c>
      <c r="X147" s="253" t="s">
        <v>39</v>
      </c>
      <c r="Y147" s="275" t="s">
        <v>34</v>
      </c>
      <c r="Z147" s="275" t="s">
        <v>36</v>
      </c>
      <c r="AA147" s="275" t="s">
        <v>40</v>
      </c>
      <c r="AB147" s="275" t="s">
        <v>41</v>
      </c>
      <c r="AC147" s="264"/>
      <c r="AD147" s="253" t="s">
        <v>38</v>
      </c>
      <c r="AE147" s="253" t="s">
        <v>35</v>
      </c>
      <c r="AF147" s="253" t="s">
        <v>39</v>
      </c>
      <c r="AG147" s="275" t="s">
        <v>34</v>
      </c>
      <c r="AH147" s="275" t="s">
        <v>36</v>
      </c>
      <c r="AI147" s="275" t="s">
        <v>40</v>
      </c>
      <c r="AJ147" s="275" t="s">
        <v>41</v>
      </c>
      <c r="AK147" s="264"/>
      <c r="AL147" s="253" t="s">
        <v>38</v>
      </c>
      <c r="AM147" s="276" t="s">
        <v>35</v>
      </c>
      <c r="AN147" s="276" t="s">
        <v>39</v>
      </c>
      <c r="AO147" s="275" t="s">
        <v>34</v>
      </c>
      <c r="AP147" s="275" t="s">
        <v>36</v>
      </c>
      <c r="AQ147" s="275" t="s">
        <v>40</v>
      </c>
      <c r="AR147" s="275" t="s">
        <v>41</v>
      </c>
    </row>
    <row r="148" spans="1:44" ht="30" customHeight="1">
      <c r="A148" s="513"/>
      <c r="B148" s="553"/>
      <c r="C148" s="560"/>
      <c r="D148" s="567"/>
      <c r="E148" s="47" t="s">
        <v>628</v>
      </c>
      <c r="F148" s="435" t="s">
        <v>1604</v>
      </c>
      <c r="G148" s="38" t="s">
        <v>629</v>
      </c>
      <c r="H148" s="38" t="s">
        <v>143</v>
      </c>
      <c r="I148" s="38" t="s">
        <v>630</v>
      </c>
      <c r="J148" s="38" t="s">
        <v>631</v>
      </c>
      <c r="K148" s="38" t="s">
        <v>632</v>
      </c>
      <c r="L148" s="44" t="s">
        <v>507</v>
      </c>
      <c r="M148" s="456" t="s">
        <v>633</v>
      </c>
      <c r="N148" s="77" t="s">
        <v>634</v>
      </c>
      <c r="O148" s="408"/>
      <c r="P148" s="425"/>
      <c r="Q148" s="420" t="s">
        <v>48</v>
      </c>
      <c r="R148" s="102"/>
      <c r="V148" s="284" t="s">
        <v>627</v>
      </c>
      <c r="W148" s="256">
        <f t="shared" ref="W148:AB148" si="132">COUNTIF($E147:$N147,W147)</f>
        <v>10</v>
      </c>
      <c r="X148" s="256">
        <f t="shared" si="132"/>
        <v>0</v>
      </c>
      <c r="Y148" s="256">
        <f t="shared" si="132"/>
        <v>0</v>
      </c>
      <c r="Z148" s="256">
        <f t="shared" si="132"/>
        <v>0</v>
      </c>
      <c r="AA148" s="256">
        <f t="shared" si="132"/>
        <v>0</v>
      </c>
      <c r="AB148" s="256">
        <f t="shared" si="132"/>
        <v>0</v>
      </c>
      <c r="AC148" s="264"/>
      <c r="AD148" s="284" t="s">
        <v>627</v>
      </c>
      <c r="AE148" s="256" t="e">
        <f ca="1">colorcount($E148:$N148,$S$3)+colorcount($E148:$N148,$S$4)+colorcount($E148:$N148,$S$5)+colorcount($E148:$N148,$S$6)+colorcount($E148:$N148,$S$7)+colorcount($E148:$N148,$S$9)+colorcount($E148:$N148,$S$10)+colorcount($E148:$N148,$S$11)+colorcount($E148:$N148,$S$12)</f>
        <v>#NAME?</v>
      </c>
      <c r="AF148" s="256" t="e">
        <f ca="1">colorcount($E148:$N148,$S$15)</f>
        <v>#NAME?</v>
      </c>
      <c r="AG148" s="256" t="e">
        <f ca="1">colorcount($E148:$N148,$S$17)+colorcount($E148:$N148,$S$18)+colorcount($E148:$N148,$S$19)+colorcount($E148:$N148,$S$20)+colorcount($E148:$N148,$S$21)</f>
        <v>#NAME?</v>
      </c>
      <c r="AH148" s="256" t="e">
        <f ca="1">colorcount($E148:$N148,$S$23)</f>
        <v>#NAME?</v>
      </c>
      <c r="AI148" s="256" t="e">
        <f ca="1">colorcount($E148:$N148,$S$26)</f>
        <v>#NAME?</v>
      </c>
      <c r="AJ148" s="256" t="e">
        <f ca="1">colorcount($E148:$N148,$S$28)</f>
        <v>#NAME?</v>
      </c>
      <c r="AL148" s="284" t="s">
        <v>627</v>
      </c>
      <c r="AM148" s="277" t="e">
        <f t="shared" ref="AM148:AR148" ca="1" si="133">IF(W148=AE148,"O","X")</f>
        <v>#NAME?</v>
      </c>
      <c r="AN148" s="277" t="e">
        <f t="shared" ca="1" si="133"/>
        <v>#NAME?</v>
      </c>
      <c r="AO148" s="277" t="e">
        <f t="shared" ca="1" si="133"/>
        <v>#NAME?</v>
      </c>
      <c r="AP148" s="277" t="e">
        <f t="shared" ca="1" si="133"/>
        <v>#NAME?</v>
      </c>
      <c r="AQ148" s="277" t="e">
        <f t="shared" ca="1" si="133"/>
        <v>#NAME?</v>
      </c>
      <c r="AR148" s="277" t="e">
        <f t="shared" ca="1" si="133"/>
        <v>#NAME?</v>
      </c>
    </row>
    <row r="149" spans="1:44" ht="14.1" customHeight="1">
      <c r="A149" s="513" t="s">
        <v>635</v>
      </c>
      <c r="B149" s="550" t="s">
        <v>636</v>
      </c>
      <c r="C149" s="560"/>
      <c r="D149" s="567"/>
      <c r="E149" s="363" t="s">
        <v>35</v>
      </c>
      <c r="F149" s="215" t="s">
        <v>35</v>
      </c>
      <c r="G149" s="215" t="s">
        <v>35</v>
      </c>
      <c r="H149" s="215" t="s">
        <v>35</v>
      </c>
      <c r="I149" s="215" t="s">
        <v>35</v>
      </c>
      <c r="J149" s="215" t="s">
        <v>35</v>
      </c>
      <c r="K149" s="215" t="s">
        <v>35</v>
      </c>
      <c r="L149" s="215" t="s">
        <v>35</v>
      </c>
      <c r="M149" s="215" t="s">
        <v>35</v>
      </c>
      <c r="N149" s="241" t="s">
        <v>35</v>
      </c>
      <c r="O149" s="352"/>
      <c r="P149" s="353"/>
      <c r="Q149" s="356"/>
      <c r="R149" s="102"/>
      <c r="V149" s="253" t="s">
        <v>38</v>
      </c>
      <c r="W149" s="253" t="s">
        <v>35</v>
      </c>
      <c r="X149" s="253" t="s">
        <v>39</v>
      </c>
      <c r="Y149" s="275" t="s">
        <v>34</v>
      </c>
      <c r="Z149" s="275" t="s">
        <v>36</v>
      </c>
      <c r="AA149" s="275" t="s">
        <v>40</v>
      </c>
      <c r="AB149" s="275" t="s">
        <v>41</v>
      </c>
      <c r="AC149" s="264"/>
      <c r="AD149" s="253" t="s">
        <v>38</v>
      </c>
      <c r="AE149" s="253" t="s">
        <v>35</v>
      </c>
      <c r="AF149" s="253" t="s">
        <v>39</v>
      </c>
      <c r="AG149" s="275" t="s">
        <v>34</v>
      </c>
      <c r="AH149" s="275" t="s">
        <v>36</v>
      </c>
      <c r="AI149" s="275" t="s">
        <v>40</v>
      </c>
      <c r="AJ149" s="275" t="s">
        <v>41</v>
      </c>
      <c r="AK149" s="264"/>
      <c r="AL149" s="253" t="s">
        <v>38</v>
      </c>
      <c r="AM149" s="276" t="s">
        <v>35</v>
      </c>
      <c r="AN149" s="276" t="s">
        <v>39</v>
      </c>
      <c r="AO149" s="275" t="s">
        <v>34</v>
      </c>
      <c r="AP149" s="275" t="s">
        <v>36</v>
      </c>
      <c r="AQ149" s="275" t="s">
        <v>40</v>
      </c>
      <c r="AR149" s="275" t="s">
        <v>41</v>
      </c>
    </row>
    <row r="150" spans="1:44" ht="30" customHeight="1">
      <c r="A150" s="513"/>
      <c r="B150" s="550"/>
      <c r="C150" s="560"/>
      <c r="D150" s="567"/>
      <c r="E150" s="149" t="s">
        <v>637</v>
      </c>
      <c r="F150" s="87" t="s">
        <v>638</v>
      </c>
      <c r="G150" s="42" t="s">
        <v>639</v>
      </c>
      <c r="H150" s="44" t="s">
        <v>640</v>
      </c>
      <c r="I150" s="42" t="s">
        <v>641</v>
      </c>
      <c r="J150" s="38" t="s">
        <v>1580</v>
      </c>
      <c r="K150" s="43" t="s">
        <v>643</v>
      </c>
      <c r="L150" s="43" t="s">
        <v>644</v>
      </c>
      <c r="M150" s="44" t="s">
        <v>303</v>
      </c>
      <c r="N150" s="80" t="s">
        <v>645</v>
      </c>
      <c r="O150" s="408"/>
      <c r="P150" s="425"/>
      <c r="Q150" s="420" t="s">
        <v>48</v>
      </c>
      <c r="R150" s="102"/>
      <c r="V150" s="283" t="s">
        <v>479</v>
      </c>
      <c r="W150" s="256">
        <f t="shared" ref="W150:AB150" si="134">COUNTIF($E149:$N149,W149)</f>
        <v>10</v>
      </c>
      <c r="X150" s="256">
        <f t="shared" si="134"/>
        <v>0</v>
      </c>
      <c r="Y150" s="256">
        <f t="shared" si="134"/>
        <v>0</v>
      </c>
      <c r="Z150" s="256">
        <f t="shared" si="134"/>
        <v>0</v>
      </c>
      <c r="AA150" s="256">
        <f t="shared" si="134"/>
        <v>0</v>
      </c>
      <c r="AB150" s="256">
        <f t="shared" si="134"/>
        <v>0</v>
      </c>
      <c r="AC150" s="264"/>
      <c r="AD150" s="283" t="s">
        <v>479</v>
      </c>
      <c r="AE150" s="256" t="e">
        <f ca="1">colorcount($E150:$N150,$S$3)+colorcount($E150:$N150,$S$4)+colorcount($E150:$N150,$S$5)+colorcount($E150:$N150,$S$6)+colorcount($E150:$N150,$S$7)+colorcount($E150:$N150,$S$9)+colorcount($E150:$N150,$S$10)+colorcount($E150:$N150,$S$11)+colorcount($E150:$N150,$S$12)</f>
        <v>#NAME?</v>
      </c>
      <c r="AF150" s="256" t="e">
        <f ca="1">colorcount($E150:$N150,$S$15)</f>
        <v>#NAME?</v>
      </c>
      <c r="AG150" s="256" t="e">
        <f ca="1">colorcount($E150:$N150,$S$17)+colorcount($E150:$N150,$S$18)+colorcount($E150:$N150,$S$19)+colorcount($E150:$N150,$S$20)+colorcount($E150:$N150,$S$21)</f>
        <v>#NAME?</v>
      </c>
      <c r="AH150" s="256" t="e">
        <f ca="1">colorcount($E150:$N150,$S$23)</f>
        <v>#NAME?</v>
      </c>
      <c r="AI150" s="256" t="e">
        <f ca="1">colorcount($E150:$N150,$S$26)</f>
        <v>#NAME?</v>
      </c>
      <c r="AJ150" s="256" t="e">
        <f ca="1">colorcount($E150:$N150,$S$28)</f>
        <v>#NAME?</v>
      </c>
      <c r="AK150" s="264"/>
      <c r="AL150" s="283" t="s">
        <v>479</v>
      </c>
      <c r="AM150" s="277" t="e">
        <f t="shared" ref="AM150:AR150" ca="1" si="135">IF(W150=AE150,"O","X")</f>
        <v>#NAME?</v>
      </c>
      <c r="AN150" s="277" t="e">
        <f t="shared" ca="1" si="135"/>
        <v>#NAME?</v>
      </c>
      <c r="AO150" s="277" t="e">
        <f t="shared" ca="1" si="135"/>
        <v>#NAME?</v>
      </c>
      <c r="AP150" s="277" t="e">
        <f t="shared" ca="1" si="135"/>
        <v>#NAME?</v>
      </c>
      <c r="AQ150" s="277" t="e">
        <f t="shared" ca="1" si="135"/>
        <v>#NAME?</v>
      </c>
      <c r="AR150" s="277" t="e">
        <f t="shared" ca="1" si="135"/>
        <v>#NAME?</v>
      </c>
    </row>
    <row r="151" spans="1:44" ht="12.75" customHeight="1">
      <c r="A151" s="513" t="s">
        <v>646</v>
      </c>
      <c r="B151" s="550" t="s">
        <v>647</v>
      </c>
      <c r="C151" s="560"/>
      <c r="D151" s="567"/>
      <c r="E151" s="363" t="s">
        <v>35</v>
      </c>
      <c r="F151" s="215" t="s">
        <v>35</v>
      </c>
      <c r="G151" s="215" t="s">
        <v>35</v>
      </c>
      <c r="H151" s="215" t="s">
        <v>35</v>
      </c>
      <c r="I151" s="215" t="s">
        <v>35</v>
      </c>
      <c r="J151" s="215" t="s">
        <v>35</v>
      </c>
      <c r="K151" s="215" t="s">
        <v>35</v>
      </c>
      <c r="L151" s="215" t="s">
        <v>35</v>
      </c>
      <c r="M151" s="215" t="s">
        <v>35</v>
      </c>
      <c r="N151" s="241" t="s">
        <v>35</v>
      </c>
      <c r="O151" s="413"/>
      <c r="P151" s="147"/>
      <c r="Q151" s="158"/>
      <c r="R151" s="102"/>
      <c r="V151" s="253" t="s">
        <v>38</v>
      </c>
      <c r="W151" s="253" t="s">
        <v>35</v>
      </c>
      <c r="X151" s="253" t="s">
        <v>39</v>
      </c>
      <c r="Y151" s="275" t="s">
        <v>34</v>
      </c>
      <c r="Z151" s="275" t="s">
        <v>36</v>
      </c>
      <c r="AA151" s="275" t="s">
        <v>40</v>
      </c>
      <c r="AB151" s="275" t="s">
        <v>41</v>
      </c>
      <c r="AD151" s="253" t="s">
        <v>38</v>
      </c>
      <c r="AE151" s="253" t="s">
        <v>35</v>
      </c>
      <c r="AF151" s="253" t="s">
        <v>39</v>
      </c>
      <c r="AG151" s="275" t="s">
        <v>34</v>
      </c>
      <c r="AH151" s="275" t="s">
        <v>36</v>
      </c>
      <c r="AI151" s="275" t="s">
        <v>40</v>
      </c>
      <c r="AJ151" s="275" t="s">
        <v>41</v>
      </c>
      <c r="AL151" s="253" t="s">
        <v>38</v>
      </c>
      <c r="AM151" s="276" t="s">
        <v>35</v>
      </c>
      <c r="AN151" s="276" t="s">
        <v>39</v>
      </c>
      <c r="AO151" s="275" t="s">
        <v>34</v>
      </c>
      <c r="AP151" s="275" t="s">
        <v>36</v>
      </c>
      <c r="AQ151" s="275" t="s">
        <v>40</v>
      </c>
      <c r="AR151" s="275" t="s">
        <v>41</v>
      </c>
    </row>
    <row r="152" spans="1:44" ht="30" customHeight="1">
      <c r="A152" s="513"/>
      <c r="B152" s="550"/>
      <c r="C152" s="560"/>
      <c r="D152" s="567"/>
      <c r="E152" s="68" t="s">
        <v>1590</v>
      </c>
      <c r="F152" s="42" t="s">
        <v>409</v>
      </c>
      <c r="G152" s="42" t="s">
        <v>648</v>
      </c>
      <c r="H152" s="44" t="s">
        <v>649</v>
      </c>
      <c r="I152" s="46" t="s">
        <v>1608</v>
      </c>
      <c r="J152" s="42" t="s">
        <v>650</v>
      </c>
      <c r="K152" s="44" t="s">
        <v>651</v>
      </c>
      <c r="L152" s="50" t="s">
        <v>652</v>
      </c>
      <c r="M152" s="42" t="s">
        <v>472</v>
      </c>
      <c r="N152" s="80" t="s">
        <v>1573</v>
      </c>
      <c r="O152" s="413"/>
      <c r="P152" s="425"/>
      <c r="Q152" s="420" t="s">
        <v>48</v>
      </c>
      <c r="R152" s="102"/>
      <c r="V152" s="283" t="s">
        <v>512</v>
      </c>
      <c r="W152" s="256">
        <f t="shared" ref="W152:AB152" si="136">COUNTIF($E151:$N151,W151)</f>
        <v>10</v>
      </c>
      <c r="X152" s="256">
        <f t="shared" si="136"/>
        <v>0</v>
      </c>
      <c r="Y152" s="256">
        <f t="shared" si="136"/>
        <v>0</v>
      </c>
      <c r="Z152" s="256">
        <f t="shared" si="136"/>
        <v>0</v>
      </c>
      <c r="AA152" s="256">
        <f t="shared" si="136"/>
        <v>0</v>
      </c>
      <c r="AB152" s="256">
        <f t="shared" si="136"/>
        <v>0</v>
      </c>
      <c r="AD152" s="283" t="s">
        <v>512</v>
      </c>
      <c r="AE152" s="256" t="e">
        <f ca="1">colorcount($E152:$N152,$S$3)+colorcount($E152:$N152,$S$4)+colorcount($E152:$N152,$S$5)+colorcount($E152:$N152,$S$6)+colorcount($E152:$N152,$S$7)+colorcount($E152:$N152,$S$9)+colorcount($E152:$N152,$S$10)+colorcount($E152:$N152,$S$11)+colorcount($E152:$N152,$S$12)</f>
        <v>#NAME?</v>
      </c>
      <c r="AF152" s="256" t="e">
        <f ca="1">colorcount($E152:$N152,$S$15)</f>
        <v>#NAME?</v>
      </c>
      <c r="AG152" s="256" t="e">
        <f ca="1">colorcount($E152:$N152,$S$17)+colorcount($E152:$N152,$S$18)+colorcount($E152:$N152,$S$19)+colorcount($E152:$N152,$S$20)+colorcount($E152:$N152,$S$21)</f>
        <v>#NAME?</v>
      </c>
      <c r="AH152" s="256" t="e">
        <f ca="1">colorcount($E152:$N152,$S$23)</f>
        <v>#NAME?</v>
      </c>
      <c r="AI152" s="256" t="e">
        <f ca="1">colorcount($E152:$N152,$S$26)</f>
        <v>#NAME?</v>
      </c>
      <c r="AJ152" s="256" t="e">
        <f ca="1">colorcount($E152:$N152,$S$28)</f>
        <v>#NAME?</v>
      </c>
      <c r="AL152" s="283" t="s">
        <v>512</v>
      </c>
      <c r="AM152" s="277" t="e">
        <f t="shared" ref="AM152:AR152" ca="1" si="137">IF(W152=AE152,"O","X")</f>
        <v>#NAME?</v>
      </c>
      <c r="AN152" s="277" t="e">
        <f t="shared" ca="1" si="137"/>
        <v>#NAME?</v>
      </c>
      <c r="AO152" s="277" t="e">
        <f t="shared" ca="1" si="137"/>
        <v>#NAME?</v>
      </c>
      <c r="AP152" s="277" t="e">
        <f t="shared" ca="1" si="137"/>
        <v>#NAME?</v>
      </c>
      <c r="AQ152" s="277" t="e">
        <f t="shared" ca="1" si="137"/>
        <v>#NAME?</v>
      </c>
      <c r="AR152" s="277" t="e">
        <f t="shared" ca="1" si="137"/>
        <v>#NAME?</v>
      </c>
    </row>
    <row r="153" spans="1:44" ht="14.1" customHeight="1">
      <c r="A153" s="513" t="s">
        <v>653</v>
      </c>
      <c r="B153" s="557" t="s">
        <v>200</v>
      </c>
      <c r="C153" s="560"/>
      <c r="D153" s="567"/>
      <c r="E153" s="363" t="s">
        <v>34</v>
      </c>
      <c r="F153" s="215" t="s">
        <v>34</v>
      </c>
      <c r="G153" s="215" t="s">
        <v>34</v>
      </c>
      <c r="H153" s="215" t="s">
        <v>34</v>
      </c>
      <c r="I153" s="215" t="s">
        <v>35</v>
      </c>
      <c r="J153" s="215" t="s">
        <v>34</v>
      </c>
      <c r="K153" s="215" t="s">
        <v>39</v>
      </c>
      <c r="L153" s="215" t="s">
        <v>35</v>
      </c>
      <c r="M153" s="215" t="s">
        <v>35</v>
      </c>
      <c r="N153" s="243" t="s">
        <v>36</v>
      </c>
      <c r="O153" s="352"/>
      <c r="P153" s="147"/>
      <c r="Q153" s="158"/>
      <c r="R153" s="102"/>
      <c r="V153" s="253" t="s">
        <v>38</v>
      </c>
      <c r="W153" s="253" t="s">
        <v>35</v>
      </c>
      <c r="X153" s="253" t="s">
        <v>39</v>
      </c>
      <c r="Y153" s="275" t="s">
        <v>34</v>
      </c>
      <c r="Z153" s="275" t="s">
        <v>36</v>
      </c>
      <c r="AA153" s="275" t="s">
        <v>40</v>
      </c>
      <c r="AB153" s="275" t="s">
        <v>41</v>
      </c>
      <c r="AC153" s="264"/>
      <c r="AD153" s="253" t="s">
        <v>38</v>
      </c>
      <c r="AE153" s="253" t="s">
        <v>35</v>
      </c>
      <c r="AF153" s="253" t="s">
        <v>39</v>
      </c>
      <c r="AG153" s="275" t="s">
        <v>34</v>
      </c>
      <c r="AH153" s="275" t="s">
        <v>36</v>
      </c>
      <c r="AI153" s="275" t="s">
        <v>40</v>
      </c>
      <c r="AJ153" s="275" t="s">
        <v>41</v>
      </c>
      <c r="AK153" s="264"/>
      <c r="AL153" s="253" t="s">
        <v>38</v>
      </c>
      <c r="AM153" s="276" t="s">
        <v>35</v>
      </c>
      <c r="AN153" s="276" t="s">
        <v>39</v>
      </c>
      <c r="AO153" s="275" t="s">
        <v>34</v>
      </c>
      <c r="AP153" s="275" t="s">
        <v>36</v>
      </c>
      <c r="AQ153" s="275" t="s">
        <v>40</v>
      </c>
      <c r="AR153" s="275" t="s">
        <v>41</v>
      </c>
    </row>
    <row r="154" spans="1:44" ht="30" customHeight="1">
      <c r="A154" s="513"/>
      <c r="B154" s="557"/>
      <c r="C154" s="560"/>
      <c r="D154" s="567"/>
      <c r="E154" s="61" t="s">
        <v>654</v>
      </c>
      <c r="F154" s="58" t="s">
        <v>655</v>
      </c>
      <c r="G154" s="62" t="s">
        <v>656</v>
      </c>
      <c r="H154" s="62" t="s">
        <v>842</v>
      </c>
      <c r="I154" s="38" t="s">
        <v>286</v>
      </c>
      <c r="J154" s="59" t="s">
        <v>657</v>
      </c>
      <c r="K154" s="221" t="s">
        <v>59</v>
      </c>
      <c r="L154" s="38" t="s">
        <v>658</v>
      </c>
      <c r="M154" s="38" t="s">
        <v>659</v>
      </c>
      <c r="N154" s="239" t="s">
        <v>660</v>
      </c>
      <c r="O154" s="408"/>
      <c r="P154" s="425"/>
      <c r="Q154" s="420" t="s">
        <v>48</v>
      </c>
      <c r="R154" s="102"/>
      <c r="V154" s="274" t="s">
        <v>200</v>
      </c>
      <c r="W154" s="256">
        <f t="shared" ref="W154:AB154" si="138">COUNTIF($E153:$N153,W153)</f>
        <v>3</v>
      </c>
      <c r="X154" s="256">
        <f t="shared" si="138"/>
        <v>1</v>
      </c>
      <c r="Y154" s="256">
        <f t="shared" si="138"/>
        <v>5</v>
      </c>
      <c r="Z154" s="256">
        <f t="shared" si="138"/>
        <v>1</v>
      </c>
      <c r="AA154" s="256">
        <f t="shared" si="138"/>
        <v>0</v>
      </c>
      <c r="AB154" s="256">
        <f t="shared" si="138"/>
        <v>0</v>
      </c>
      <c r="AC154" s="264"/>
      <c r="AD154" s="274" t="s">
        <v>200</v>
      </c>
      <c r="AE154" s="256" t="e">
        <f ca="1">colorcount($E154:$N154,$S$3)+colorcount($E154:$N154,$S$4)+colorcount($E154:$N154,$S$5)+colorcount($E154:$N154,$S$6)+colorcount($E154:$N154,$S$7)+colorcount($E154:$N154,$S$9)+colorcount($E154:$N154,$S$10)+colorcount($E154:$N154,$S$11)+colorcount($E154:$N154,$S$12)</f>
        <v>#NAME?</v>
      </c>
      <c r="AF154" s="256" t="e">
        <f ca="1">colorcount($E154:$N154,$S$15)</f>
        <v>#NAME?</v>
      </c>
      <c r="AG154" s="256" t="e">
        <f ca="1">colorcount($E154:$N154,$S$17)+colorcount($E154:$N154,$S$18)+colorcount($E154:$N154,$S$19)+colorcount($E154:$N154,$S$20)+colorcount($E154:$N154,$S$21)</f>
        <v>#NAME?</v>
      </c>
      <c r="AH154" s="256" t="e">
        <f ca="1">colorcount($E154:$N154,$S$23)</f>
        <v>#NAME?</v>
      </c>
      <c r="AI154" s="256" t="e">
        <f ca="1">colorcount($E154:$N154,$S$26)</f>
        <v>#NAME?</v>
      </c>
      <c r="AJ154" s="256" t="e">
        <f ca="1">colorcount($E154:$N154,$S$28)</f>
        <v>#NAME?</v>
      </c>
      <c r="AK154" s="264"/>
      <c r="AL154" s="274" t="s">
        <v>200</v>
      </c>
      <c r="AM154" s="277" t="e">
        <f t="shared" ref="AM154:AR154" ca="1" si="139">IF(W154=AE154,"O","X")</f>
        <v>#NAME?</v>
      </c>
      <c r="AN154" s="277" t="e">
        <f t="shared" ca="1" si="139"/>
        <v>#NAME?</v>
      </c>
      <c r="AO154" s="277" t="e">
        <f t="shared" ca="1" si="139"/>
        <v>#NAME?</v>
      </c>
      <c r="AP154" s="277" t="e">
        <f t="shared" ca="1" si="139"/>
        <v>#NAME?</v>
      </c>
      <c r="AQ154" s="277" t="e">
        <f t="shared" ca="1" si="139"/>
        <v>#NAME?</v>
      </c>
      <c r="AR154" s="277" t="e">
        <f t="shared" ca="1" si="139"/>
        <v>#NAME?</v>
      </c>
    </row>
    <row r="155" spans="1:44" ht="30" customHeight="1">
      <c r="A155" s="212"/>
      <c r="B155" s="222" t="s">
        <v>661</v>
      </c>
      <c r="C155" s="213"/>
      <c r="D155" s="360"/>
      <c r="E155" s="364" t="s">
        <v>48</v>
      </c>
      <c r="F155" s="217" t="s">
        <v>48</v>
      </c>
      <c r="G155" s="217" t="s">
        <v>48</v>
      </c>
      <c r="H155" s="217" t="s">
        <v>48</v>
      </c>
      <c r="I155" s="217" t="s">
        <v>48</v>
      </c>
      <c r="J155" s="217" t="s">
        <v>48</v>
      </c>
      <c r="K155" s="44" t="s">
        <v>662</v>
      </c>
      <c r="L155" s="217" t="s">
        <v>48</v>
      </c>
      <c r="M155" s="217" t="s">
        <v>48</v>
      </c>
      <c r="N155" s="86" t="s">
        <v>663</v>
      </c>
      <c r="O155" s="408"/>
      <c r="P155" s="147"/>
      <c r="Q155" s="158"/>
      <c r="R155" s="102"/>
      <c r="V155" s="274"/>
      <c r="W155" s="256"/>
      <c r="X155" s="256"/>
      <c r="Y155" s="256"/>
      <c r="Z155" s="256"/>
      <c r="AA155" s="256"/>
      <c r="AB155" s="256"/>
      <c r="AC155" s="264"/>
      <c r="AD155" s="274"/>
      <c r="AE155" s="256"/>
      <c r="AF155" s="256"/>
      <c r="AG155" s="256"/>
      <c r="AH155" s="256"/>
      <c r="AI155" s="256"/>
      <c r="AJ155" s="256"/>
      <c r="AK155" s="264"/>
      <c r="AL155" s="274"/>
      <c r="AM155" s="277"/>
      <c r="AN155" s="277"/>
      <c r="AO155" s="277"/>
      <c r="AP155" s="277"/>
      <c r="AQ155" s="277"/>
      <c r="AR155" s="277"/>
    </row>
    <row r="156" spans="1:44" ht="14.1" customHeight="1">
      <c r="A156" s="513" t="s">
        <v>664</v>
      </c>
      <c r="B156" s="558" t="s">
        <v>665</v>
      </c>
      <c r="C156" s="560"/>
      <c r="D156" s="567"/>
      <c r="E156" s="363" t="s">
        <v>35</v>
      </c>
      <c r="F156" s="215" t="s">
        <v>34</v>
      </c>
      <c r="G156" s="215" t="s">
        <v>34</v>
      </c>
      <c r="H156" s="215" t="s">
        <v>34</v>
      </c>
      <c r="I156" s="215" t="s">
        <v>34</v>
      </c>
      <c r="J156" s="215" t="s">
        <v>34</v>
      </c>
      <c r="K156" s="215" t="s">
        <v>34</v>
      </c>
      <c r="L156" s="215" t="s">
        <v>34</v>
      </c>
      <c r="M156" s="218" t="s">
        <v>36</v>
      </c>
      <c r="N156" s="279" t="s">
        <v>35</v>
      </c>
      <c r="O156" s="352"/>
      <c r="P156" s="147"/>
      <c r="Q156" s="158"/>
      <c r="R156" s="102"/>
      <c r="V156" s="253" t="s">
        <v>38</v>
      </c>
      <c r="W156" s="253" t="s">
        <v>35</v>
      </c>
      <c r="X156" s="253" t="s">
        <v>39</v>
      </c>
      <c r="Y156" s="275" t="s">
        <v>34</v>
      </c>
      <c r="Z156" s="275" t="s">
        <v>36</v>
      </c>
      <c r="AA156" s="275" t="s">
        <v>40</v>
      </c>
      <c r="AB156" s="275" t="s">
        <v>41</v>
      </c>
      <c r="AC156" s="264"/>
      <c r="AD156" s="253" t="s">
        <v>38</v>
      </c>
      <c r="AE156" s="253" t="s">
        <v>35</v>
      </c>
      <c r="AF156" s="253" t="s">
        <v>39</v>
      </c>
      <c r="AG156" s="275" t="s">
        <v>34</v>
      </c>
      <c r="AH156" s="275" t="s">
        <v>36</v>
      </c>
      <c r="AI156" s="275" t="s">
        <v>40</v>
      </c>
      <c r="AJ156" s="275" t="s">
        <v>41</v>
      </c>
      <c r="AK156" s="264"/>
      <c r="AL156" s="253" t="s">
        <v>38</v>
      </c>
      <c r="AM156" s="276" t="s">
        <v>35</v>
      </c>
      <c r="AN156" s="276" t="s">
        <v>39</v>
      </c>
      <c r="AO156" s="275" t="s">
        <v>34</v>
      </c>
      <c r="AP156" s="275" t="s">
        <v>36</v>
      </c>
      <c r="AQ156" s="275" t="s">
        <v>40</v>
      </c>
      <c r="AR156" s="275" t="s">
        <v>41</v>
      </c>
    </row>
    <row r="157" spans="1:44" ht="30" customHeight="1">
      <c r="A157" s="513"/>
      <c r="B157" s="558"/>
      <c r="C157" s="560"/>
      <c r="D157" s="567"/>
      <c r="E157" s="458" t="s">
        <v>136</v>
      </c>
      <c r="F157" s="58" t="s">
        <v>666</v>
      </c>
      <c r="G157" s="62" t="s">
        <v>728</v>
      </c>
      <c r="H157" s="285" t="s">
        <v>667</v>
      </c>
      <c r="I157" s="59" t="s">
        <v>668</v>
      </c>
      <c r="J157" s="65" t="s">
        <v>276</v>
      </c>
      <c r="K157" s="62" t="s">
        <v>669</v>
      </c>
      <c r="L157" s="62" t="s">
        <v>1475</v>
      </c>
      <c r="M157" s="220" t="s">
        <v>660</v>
      </c>
      <c r="N157" s="77" t="s">
        <v>670</v>
      </c>
      <c r="O157" s="408"/>
      <c r="P157" s="425"/>
      <c r="Q157" s="420" t="s">
        <v>48</v>
      </c>
      <c r="R157" s="102"/>
      <c r="V157" s="283" t="s">
        <v>671</v>
      </c>
      <c r="W157" s="256">
        <f t="shared" ref="W157:AB157" si="140">COUNTIF($E156:$N156,W156)</f>
        <v>2</v>
      </c>
      <c r="X157" s="256">
        <f t="shared" si="140"/>
        <v>0</v>
      </c>
      <c r="Y157" s="256">
        <f t="shared" si="140"/>
        <v>7</v>
      </c>
      <c r="Z157" s="256">
        <f t="shared" si="140"/>
        <v>1</v>
      </c>
      <c r="AA157" s="256">
        <f t="shared" si="140"/>
        <v>0</v>
      </c>
      <c r="AB157" s="256">
        <f t="shared" si="140"/>
        <v>0</v>
      </c>
      <c r="AC157" s="264"/>
      <c r="AD157" s="283" t="s">
        <v>671</v>
      </c>
      <c r="AE157" s="256" t="e">
        <f ca="1">colorcount($E157:$N157,$S$3)+colorcount($E157:$N157,$S$4)+colorcount($E157:$N157,$S$5)+colorcount($E157:$N157,$S$6)+colorcount($E157:$N157,$S$7)+colorcount($E157:$N157,$S$9)+colorcount($E157:$N157,$S$10)+colorcount($E157:$N157,$S$11)+colorcount($E157:$N157,$S$12)</f>
        <v>#NAME?</v>
      </c>
      <c r="AF157" s="256" t="e">
        <f ca="1">colorcount($E157:$N157,$S$15)</f>
        <v>#NAME?</v>
      </c>
      <c r="AG157" s="256" t="e">
        <f ca="1">colorcount($E157:$N157,$S$17)+colorcount($E157:$N157,$S$18)+colorcount($E157:$N157,$S$19)+colorcount($E157:$N157,$S$20)+colorcount($E157:$N157,$S$21)</f>
        <v>#NAME?</v>
      </c>
      <c r="AH157" s="256" t="e">
        <f ca="1">colorcount($E157:$N157,$S$23)</f>
        <v>#NAME?</v>
      </c>
      <c r="AI157" s="256" t="e">
        <f ca="1">colorcount($E157:$N157,$S$26)</f>
        <v>#NAME?</v>
      </c>
      <c r="AJ157" s="256" t="e">
        <f ca="1">colorcount($E157:$N157,$S$28)</f>
        <v>#NAME?</v>
      </c>
      <c r="AK157" s="264"/>
      <c r="AL157" s="283" t="s">
        <v>671</v>
      </c>
      <c r="AM157" s="277" t="e">
        <f t="shared" ref="AM157:AR157" ca="1" si="141">IF(W157=AE157,"O","X")</f>
        <v>#NAME?</v>
      </c>
      <c r="AN157" s="277" t="e">
        <f t="shared" ca="1" si="141"/>
        <v>#NAME?</v>
      </c>
      <c r="AO157" s="277" t="e">
        <f t="shared" ca="1" si="141"/>
        <v>#NAME?</v>
      </c>
      <c r="AP157" s="277" t="e">
        <f t="shared" ca="1" si="141"/>
        <v>#NAME?</v>
      </c>
      <c r="AQ157" s="277" t="e">
        <f t="shared" ca="1" si="141"/>
        <v>#NAME?</v>
      </c>
      <c r="AR157" s="277" t="e">
        <f t="shared" ca="1" si="141"/>
        <v>#NAME?</v>
      </c>
    </row>
    <row r="158" spans="1:44" ht="13.5" customHeight="1">
      <c r="A158" s="513" t="s">
        <v>672</v>
      </c>
      <c r="B158" s="557" t="s">
        <v>549</v>
      </c>
      <c r="C158" s="560"/>
      <c r="D158" s="567"/>
      <c r="E158" s="363" t="s">
        <v>34</v>
      </c>
      <c r="F158" s="215" t="s">
        <v>34</v>
      </c>
      <c r="G158" s="215" t="s">
        <v>34</v>
      </c>
      <c r="H158" s="215" t="s">
        <v>34</v>
      </c>
      <c r="I158" s="215" t="s">
        <v>34</v>
      </c>
      <c r="J158" s="215" t="s">
        <v>35</v>
      </c>
      <c r="K158" s="215" t="s">
        <v>35</v>
      </c>
      <c r="L158" s="215" t="s">
        <v>34</v>
      </c>
      <c r="M158" s="215" t="s">
        <v>34</v>
      </c>
      <c r="N158" s="241" t="s">
        <v>35</v>
      </c>
      <c r="O158" s="413"/>
      <c r="P158" s="147"/>
      <c r="Q158" s="158"/>
      <c r="R158" s="102"/>
      <c r="V158" s="253" t="s">
        <v>38</v>
      </c>
      <c r="W158" s="253" t="s">
        <v>35</v>
      </c>
      <c r="X158" s="253" t="s">
        <v>39</v>
      </c>
      <c r="Y158" s="275" t="s">
        <v>34</v>
      </c>
      <c r="Z158" s="275" t="s">
        <v>36</v>
      </c>
      <c r="AA158" s="275" t="s">
        <v>40</v>
      </c>
      <c r="AB158" s="275" t="s">
        <v>41</v>
      </c>
      <c r="AD158" s="253" t="s">
        <v>38</v>
      </c>
      <c r="AE158" s="253" t="s">
        <v>35</v>
      </c>
      <c r="AF158" s="253" t="s">
        <v>39</v>
      </c>
      <c r="AG158" s="275" t="s">
        <v>34</v>
      </c>
      <c r="AH158" s="275" t="s">
        <v>36</v>
      </c>
      <c r="AI158" s="275" t="s">
        <v>40</v>
      </c>
      <c r="AJ158" s="275" t="s">
        <v>41</v>
      </c>
      <c r="AL158" s="253" t="s">
        <v>38</v>
      </c>
      <c r="AM158" s="276" t="s">
        <v>35</v>
      </c>
      <c r="AN158" s="276" t="s">
        <v>39</v>
      </c>
      <c r="AO158" s="275" t="s">
        <v>34</v>
      </c>
      <c r="AP158" s="275" t="s">
        <v>36</v>
      </c>
      <c r="AQ158" s="275" t="s">
        <v>40</v>
      </c>
      <c r="AR158" s="275" t="s">
        <v>41</v>
      </c>
    </row>
    <row r="159" spans="1:44" ht="30" customHeight="1">
      <c r="A159" s="513"/>
      <c r="B159" s="557"/>
      <c r="C159" s="560"/>
      <c r="D159" s="567"/>
      <c r="E159" s="63" t="s">
        <v>673</v>
      </c>
      <c r="F159" s="62" t="s">
        <v>674</v>
      </c>
      <c r="G159" s="59" t="s">
        <v>1559</v>
      </c>
      <c r="H159" s="62" t="s">
        <v>1501</v>
      </c>
      <c r="I159" s="58" t="s">
        <v>675</v>
      </c>
      <c r="J159" s="38" t="s">
        <v>676</v>
      </c>
      <c r="K159" s="38" t="s">
        <v>677</v>
      </c>
      <c r="L159" s="39" t="s">
        <v>1531</v>
      </c>
      <c r="M159" s="402" t="s">
        <v>1206</v>
      </c>
      <c r="N159" s="77" t="s">
        <v>287</v>
      </c>
      <c r="O159" s="413"/>
      <c r="P159" s="425"/>
      <c r="Q159" s="420" t="s">
        <v>48</v>
      </c>
      <c r="R159" s="102"/>
      <c r="V159" s="283" t="s">
        <v>549</v>
      </c>
      <c r="W159" s="256">
        <f t="shared" ref="W159:AB159" si="142">COUNTIF($E158:$N158,W158)</f>
        <v>3</v>
      </c>
      <c r="X159" s="256">
        <f t="shared" si="142"/>
        <v>0</v>
      </c>
      <c r="Y159" s="256">
        <f t="shared" si="142"/>
        <v>7</v>
      </c>
      <c r="Z159" s="256">
        <f t="shared" si="142"/>
        <v>0</v>
      </c>
      <c r="AA159" s="256">
        <f t="shared" si="142"/>
        <v>0</v>
      </c>
      <c r="AB159" s="256">
        <f t="shared" si="142"/>
        <v>0</v>
      </c>
      <c r="AD159" s="283" t="s">
        <v>549</v>
      </c>
      <c r="AE159" s="256" t="e">
        <f ca="1">colorcount($E159:$N159,$S$3)+colorcount($E159:$N159,$S$4)+colorcount($E159:$N159,$S$5)+colorcount($E159:$N159,$S$6)+colorcount($E159:$N159,$S$7)+colorcount($E159:$N159,$S$9)+colorcount($E159:$N159,$S$10)+colorcount($E159:$N159,$S$11)+colorcount($E159:$N159,$S$12)</f>
        <v>#NAME?</v>
      </c>
      <c r="AF159" s="256" t="e">
        <f ca="1">colorcount($E159:$N159,$S$15)</f>
        <v>#NAME?</v>
      </c>
      <c r="AG159" s="256" t="e">
        <f ca="1">colorcount($E159:$N159,$S$17)+colorcount($E159:$N159,$S$18)+colorcount($E159:$N159,$S$19)+colorcount($E159:$N159,$S$20)+colorcount($E159:$N159,$S$21)</f>
        <v>#NAME?</v>
      </c>
      <c r="AH159" s="256" t="e">
        <f ca="1">colorcount($E159:$N159,$S$23)</f>
        <v>#NAME?</v>
      </c>
      <c r="AI159" s="256" t="e">
        <f ca="1">colorcount($E159:$N159,$S$26)</f>
        <v>#NAME?</v>
      </c>
      <c r="AJ159" s="256" t="e">
        <f ca="1">colorcount($E159:$N159,$S$28)</f>
        <v>#NAME?</v>
      </c>
      <c r="AL159" s="283" t="s">
        <v>549</v>
      </c>
      <c r="AM159" s="277" t="e">
        <f t="shared" ref="AM159:AR159" ca="1" si="143">IF(W159=AE159,"O","X")</f>
        <v>#NAME?</v>
      </c>
      <c r="AN159" s="277" t="e">
        <f t="shared" ca="1" si="143"/>
        <v>#NAME?</v>
      </c>
      <c r="AO159" s="277" t="e">
        <f t="shared" ca="1" si="143"/>
        <v>#NAME?</v>
      </c>
      <c r="AP159" s="277" t="e">
        <f t="shared" ca="1" si="143"/>
        <v>#NAME?</v>
      </c>
      <c r="AQ159" s="277" t="e">
        <f t="shared" ca="1" si="143"/>
        <v>#NAME?</v>
      </c>
      <c r="AR159" s="277" t="e">
        <f t="shared" ca="1" si="143"/>
        <v>#NAME?</v>
      </c>
    </row>
    <row r="160" spans="1:44" ht="14.1" customHeight="1">
      <c r="A160" s="513" t="s">
        <v>678</v>
      </c>
      <c r="B160" s="557" t="s">
        <v>150</v>
      </c>
      <c r="C160" s="560"/>
      <c r="D160" s="567"/>
      <c r="E160" s="363" t="s">
        <v>34</v>
      </c>
      <c r="F160" s="215" t="s">
        <v>35</v>
      </c>
      <c r="G160" s="215" t="s">
        <v>34</v>
      </c>
      <c r="H160" s="215" t="s">
        <v>34</v>
      </c>
      <c r="I160" s="215" t="s">
        <v>35</v>
      </c>
      <c r="J160" s="215" t="s">
        <v>35</v>
      </c>
      <c r="K160" s="218" t="s">
        <v>36</v>
      </c>
      <c r="L160" s="215" t="s">
        <v>34</v>
      </c>
      <c r="M160" s="215" t="s">
        <v>35</v>
      </c>
      <c r="N160" s="243" t="s">
        <v>36</v>
      </c>
      <c r="O160" s="352"/>
      <c r="P160" s="147"/>
      <c r="Q160" s="433"/>
      <c r="R160" s="102"/>
      <c r="V160" s="253" t="s">
        <v>38</v>
      </c>
      <c r="W160" s="253" t="s">
        <v>35</v>
      </c>
      <c r="X160" s="253" t="s">
        <v>39</v>
      </c>
      <c r="Y160" s="275" t="s">
        <v>34</v>
      </c>
      <c r="Z160" s="275" t="s">
        <v>36</v>
      </c>
      <c r="AA160" s="275" t="s">
        <v>40</v>
      </c>
      <c r="AB160" s="275" t="s">
        <v>41</v>
      </c>
      <c r="AC160" s="264"/>
      <c r="AD160" s="253" t="s">
        <v>38</v>
      </c>
      <c r="AE160" s="253" t="s">
        <v>35</v>
      </c>
      <c r="AF160" s="253" t="s">
        <v>39</v>
      </c>
      <c r="AG160" s="275" t="s">
        <v>34</v>
      </c>
      <c r="AH160" s="275" t="s">
        <v>36</v>
      </c>
      <c r="AI160" s="275" t="s">
        <v>40</v>
      </c>
      <c r="AJ160" s="275" t="s">
        <v>41</v>
      </c>
      <c r="AK160" s="264"/>
      <c r="AL160" s="253" t="s">
        <v>38</v>
      </c>
      <c r="AM160" s="276" t="s">
        <v>35</v>
      </c>
      <c r="AN160" s="276" t="s">
        <v>39</v>
      </c>
      <c r="AO160" s="275" t="s">
        <v>34</v>
      </c>
      <c r="AP160" s="275" t="s">
        <v>36</v>
      </c>
      <c r="AQ160" s="275" t="s">
        <v>40</v>
      </c>
      <c r="AR160" s="275" t="s">
        <v>41</v>
      </c>
    </row>
    <row r="161" spans="1:44" ht="30" customHeight="1">
      <c r="A161" s="513"/>
      <c r="B161" s="557"/>
      <c r="C161" s="560"/>
      <c r="D161" s="567"/>
      <c r="E161" s="63" t="s">
        <v>1475</v>
      </c>
      <c r="F161" s="89" t="s">
        <v>679</v>
      </c>
      <c r="G161" s="58" t="s">
        <v>680</v>
      </c>
      <c r="H161" s="62" t="s">
        <v>681</v>
      </c>
      <c r="I161" s="38" t="s">
        <v>682</v>
      </c>
      <c r="J161" s="38" t="s">
        <v>1578</v>
      </c>
      <c r="K161" s="220" t="s">
        <v>660</v>
      </c>
      <c r="L161" s="402" t="s">
        <v>1206</v>
      </c>
      <c r="M161" s="38" t="s">
        <v>683</v>
      </c>
      <c r="N161" s="239" t="s">
        <v>660</v>
      </c>
      <c r="O161" s="408"/>
      <c r="P161" s="425"/>
      <c r="Q161" s="420" t="s">
        <v>48</v>
      </c>
      <c r="R161" s="102"/>
      <c r="V161" s="283" t="s">
        <v>150</v>
      </c>
      <c r="W161" s="256">
        <f t="shared" ref="W161:AB161" si="144">COUNTIF($E160:$N160,W160)</f>
        <v>4</v>
      </c>
      <c r="X161" s="256">
        <f t="shared" si="144"/>
        <v>0</v>
      </c>
      <c r="Y161" s="256">
        <f t="shared" si="144"/>
        <v>4</v>
      </c>
      <c r="Z161" s="256">
        <f t="shared" si="144"/>
        <v>2</v>
      </c>
      <c r="AA161" s="256">
        <f t="shared" si="144"/>
        <v>0</v>
      </c>
      <c r="AB161" s="256">
        <f t="shared" si="144"/>
        <v>0</v>
      </c>
      <c r="AC161" s="264"/>
      <c r="AD161" s="283" t="s">
        <v>150</v>
      </c>
      <c r="AE161" s="256" t="e">
        <f ca="1">colorcount($E161:$N161,$S$3)+colorcount($E161:$N161,$S$4)+colorcount($E161:$N161,$S$5)+colorcount($E161:$N161,$S$6)+colorcount($E161:$N161,$S$7)+colorcount($E161:$N161,$S$9)+colorcount($E161:$N161,$S$10)+colorcount($E161:$N161,$S$11)+colorcount($E161:$N161,$S$12)</f>
        <v>#NAME?</v>
      </c>
      <c r="AF161" s="256" t="e">
        <f ca="1">colorcount($E161:$N161,$S$15)</f>
        <v>#NAME?</v>
      </c>
      <c r="AG161" s="256" t="e">
        <f ca="1">colorcount($E161:$N161,$S$17)+colorcount($E161:$N161,$S$18)+colorcount($E161:$N161,$S$19)+colorcount($E161:$N161,$S$20)+colorcount($E161:$N161,$S$21)</f>
        <v>#NAME?</v>
      </c>
      <c r="AH161" s="256" t="e">
        <f ca="1">colorcount($E161:$N161,$S$23)</f>
        <v>#NAME?</v>
      </c>
      <c r="AI161" s="256" t="e">
        <f ca="1">colorcount($E161:$N161,$S$26)</f>
        <v>#NAME?</v>
      </c>
      <c r="AJ161" s="256" t="e">
        <f ca="1">colorcount($E161:$N161,$S$28)</f>
        <v>#NAME?</v>
      </c>
      <c r="AK161" s="264"/>
      <c r="AL161" s="283" t="s">
        <v>150</v>
      </c>
      <c r="AM161" s="277" t="e">
        <f t="shared" ref="AM161:AR161" ca="1" si="145">IF(W161=AE161,"O","X")</f>
        <v>#NAME?</v>
      </c>
      <c r="AN161" s="277" t="e">
        <f t="shared" ca="1" si="145"/>
        <v>#NAME?</v>
      </c>
      <c r="AO161" s="277" t="e">
        <f t="shared" ca="1" si="145"/>
        <v>#NAME?</v>
      </c>
      <c r="AP161" s="277" t="e">
        <f t="shared" ca="1" si="145"/>
        <v>#NAME?</v>
      </c>
      <c r="AQ161" s="277" t="e">
        <f t="shared" ca="1" si="145"/>
        <v>#NAME?</v>
      </c>
      <c r="AR161" s="277" t="e">
        <f t="shared" ca="1" si="145"/>
        <v>#NAME?</v>
      </c>
    </row>
    <row r="162" spans="1:44" ht="14.1" customHeight="1">
      <c r="A162" s="513" t="s">
        <v>684</v>
      </c>
      <c r="B162" s="557" t="s">
        <v>250</v>
      </c>
      <c r="C162" s="560"/>
      <c r="D162" s="567"/>
      <c r="E162" s="363" t="s">
        <v>34</v>
      </c>
      <c r="F162" s="215" t="s">
        <v>34</v>
      </c>
      <c r="G162" s="215" t="s">
        <v>34</v>
      </c>
      <c r="H162" s="215" t="s">
        <v>35</v>
      </c>
      <c r="I162" s="215" t="s">
        <v>35</v>
      </c>
      <c r="J162" s="215" t="s">
        <v>34</v>
      </c>
      <c r="K162" s="215" t="s">
        <v>35</v>
      </c>
      <c r="L162" s="215" t="s">
        <v>34</v>
      </c>
      <c r="M162" s="215" t="s">
        <v>35</v>
      </c>
      <c r="N162" s="241" t="s">
        <v>35</v>
      </c>
      <c r="O162" s="352"/>
      <c r="P162" s="147"/>
      <c r="Q162" s="433"/>
      <c r="R162" s="102"/>
      <c r="V162" s="253" t="s">
        <v>38</v>
      </c>
      <c r="W162" s="253" t="s">
        <v>35</v>
      </c>
      <c r="X162" s="253" t="s">
        <v>39</v>
      </c>
      <c r="Y162" s="275" t="s">
        <v>34</v>
      </c>
      <c r="Z162" s="275" t="s">
        <v>36</v>
      </c>
      <c r="AA162" s="275" t="s">
        <v>40</v>
      </c>
      <c r="AB162" s="275" t="s">
        <v>41</v>
      </c>
      <c r="AC162" s="264"/>
      <c r="AD162" s="253" t="s">
        <v>38</v>
      </c>
      <c r="AE162" s="253" t="s">
        <v>35</v>
      </c>
      <c r="AF162" s="253" t="s">
        <v>39</v>
      </c>
      <c r="AG162" s="275" t="s">
        <v>34</v>
      </c>
      <c r="AH162" s="275" t="s">
        <v>36</v>
      </c>
      <c r="AI162" s="275" t="s">
        <v>40</v>
      </c>
      <c r="AJ162" s="275" t="s">
        <v>41</v>
      </c>
      <c r="AK162" s="264"/>
      <c r="AL162" s="253" t="s">
        <v>38</v>
      </c>
      <c r="AM162" s="276" t="s">
        <v>35</v>
      </c>
      <c r="AN162" s="276" t="s">
        <v>39</v>
      </c>
      <c r="AO162" s="275" t="s">
        <v>34</v>
      </c>
      <c r="AP162" s="275" t="s">
        <v>36</v>
      </c>
      <c r="AQ162" s="275" t="s">
        <v>40</v>
      </c>
      <c r="AR162" s="275" t="s">
        <v>41</v>
      </c>
    </row>
    <row r="163" spans="1:44" ht="30" customHeight="1">
      <c r="A163" s="513"/>
      <c r="B163" s="557"/>
      <c r="C163" s="560"/>
      <c r="D163" s="567"/>
      <c r="E163" s="63" t="s">
        <v>685</v>
      </c>
      <c r="F163" s="443" t="s">
        <v>1586</v>
      </c>
      <c r="G163" s="62" t="s">
        <v>673</v>
      </c>
      <c r="H163" s="38" t="s">
        <v>686</v>
      </c>
      <c r="I163" s="40" t="s">
        <v>687</v>
      </c>
      <c r="J163" s="59" t="s">
        <v>688</v>
      </c>
      <c r="K163" s="38" t="s">
        <v>1551</v>
      </c>
      <c r="L163" s="58" t="s">
        <v>655</v>
      </c>
      <c r="M163" s="43" t="s">
        <v>689</v>
      </c>
      <c r="N163" s="455" t="s">
        <v>1428</v>
      </c>
      <c r="O163" s="408"/>
      <c r="P163" s="425"/>
      <c r="Q163" s="420" t="s">
        <v>48</v>
      </c>
      <c r="R163" s="102"/>
      <c r="V163" s="283" t="s">
        <v>250</v>
      </c>
      <c r="W163" s="256">
        <f t="shared" ref="W163:AB163" si="146">COUNTIF($E162:$N162,W162)</f>
        <v>5</v>
      </c>
      <c r="X163" s="256">
        <f t="shared" si="146"/>
        <v>0</v>
      </c>
      <c r="Y163" s="256">
        <f t="shared" si="146"/>
        <v>5</v>
      </c>
      <c r="Z163" s="256">
        <f t="shared" si="146"/>
        <v>0</v>
      </c>
      <c r="AA163" s="256">
        <f t="shared" si="146"/>
        <v>0</v>
      </c>
      <c r="AB163" s="256">
        <f t="shared" si="146"/>
        <v>0</v>
      </c>
      <c r="AC163" s="264"/>
      <c r="AD163" s="283" t="s">
        <v>250</v>
      </c>
      <c r="AE163" s="256" t="e">
        <f ca="1">colorcount($E163:$N163,$S$3)+colorcount($E163:$N163,$S$4)+colorcount($E163:$N163,$S$5)+colorcount($E163:$N163,$S$6)+colorcount($E163:$N163,$S$7)+colorcount($E163:$N163,$S$9)+colorcount($E163:$N163,$S$10)+colorcount($E163:$N163,$S$11)+colorcount($E163:$N163,$S$12)</f>
        <v>#NAME?</v>
      </c>
      <c r="AF163" s="256" t="e">
        <f ca="1">colorcount($E163:$N163,$S$15)</f>
        <v>#NAME?</v>
      </c>
      <c r="AG163" s="256" t="e">
        <f ca="1">colorcount($E163:$N163,$S$17)+colorcount($E163:$N163,$S$18)+colorcount($E163:$N163,$S$19)+colorcount($E163:$N163,$S$20)+colorcount($E163:$N163,$S$21)</f>
        <v>#NAME?</v>
      </c>
      <c r="AH163" s="256" t="e">
        <f ca="1">colorcount($E163:$N163,$S$23)</f>
        <v>#NAME?</v>
      </c>
      <c r="AI163" s="256" t="e">
        <f ca="1">colorcount($E163:$N163,$S$26)</f>
        <v>#NAME?</v>
      </c>
      <c r="AJ163" s="256" t="e">
        <f ca="1">colorcount($E163:$N163,$S$28)</f>
        <v>#NAME?</v>
      </c>
      <c r="AK163" s="264"/>
      <c r="AL163" s="283" t="s">
        <v>250</v>
      </c>
      <c r="AM163" s="277" t="e">
        <f t="shared" ref="AM163:AR163" ca="1" si="147">IF(W163=AE163,"O","X")</f>
        <v>#NAME?</v>
      </c>
      <c r="AN163" s="277" t="e">
        <f t="shared" ca="1" si="147"/>
        <v>#NAME?</v>
      </c>
      <c r="AO163" s="277" t="e">
        <f t="shared" ca="1" si="147"/>
        <v>#NAME?</v>
      </c>
      <c r="AP163" s="277" t="e">
        <f t="shared" ca="1" si="147"/>
        <v>#NAME?</v>
      </c>
      <c r="AQ163" s="277" t="e">
        <f t="shared" ca="1" si="147"/>
        <v>#NAME?</v>
      </c>
      <c r="AR163" s="277" t="e">
        <f t="shared" ca="1" si="147"/>
        <v>#NAME?</v>
      </c>
    </row>
    <row r="164" spans="1:44" ht="14.1" customHeight="1">
      <c r="A164" s="513" t="s">
        <v>690</v>
      </c>
      <c r="B164" s="557" t="s">
        <v>691</v>
      </c>
      <c r="C164" s="560"/>
      <c r="D164" s="567"/>
      <c r="E164" s="363" t="s">
        <v>35</v>
      </c>
      <c r="F164" s="215" t="s">
        <v>35</v>
      </c>
      <c r="G164" s="215" t="s">
        <v>35</v>
      </c>
      <c r="H164" s="215" t="s">
        <v>35</v>
      </c>
      <c r="I164" s="215" t="s">
        <v>34</v>
      </c>
      <c r="J164" s="215" t="s">
        <v>34</v>
      </c>
      <c r="K164" s="215" t="s">
        <v>34</v>
      </c>
      <c r="L164" s="215" t="s">
        <v>35</v>
      </c>
      <c r="M164" s="215" t="s">
        <v>35</v>
      </c>
      <c r="N164" s="158"/>
      <c r="O164" s="352"/>
      <c r="P164" s="147"/>
      <c r="Q164" s="158"/>
      <c r="R164" s="102"/>
      <c r="V164" s="253" t="s">
        <v>38</v>
      </c>
      <c r="W164" s="253" t="s">
        <v>35</v>
      </c>
      <c r="X164" s="253" t="s">
        <v>39</v>
      </c>
      <c r="Y164" s="275" t="s">
        <v>34</v>
      </c>
      <c r="Z164" s="275" t="s">
        <v>36</v>
      </c>
      <c r="AA164" s="275" t="s">
        <v>40</v>
      </c>
      <c r="AB164" s="275" t="s">
        <v>41</v>
      </c>
      <c r="AC164" s="264"/>
      <c r="AD164" s="253" t="s">
        <v>38</v>
      </c>
      <c r="AE164" s="253" t="s">
        <v>35</v>
      </c>
      <c r="AF164" s="253" t="s">
        <v>39</v>
      </c>
      <c r="AG164" s="275" t="s">
        <v>34</v>
      </c>
      <c r="AH164" s="275" t="s">
        <v>36</v>
      </c>
      <c r="AI164" s="275" t="s">
        <v>40</v>
      </c>
      <c r="AJ164" s="275" t="s">
        <v>41</v>
      </c>
      <c r="AK164" s="264"/>
      <c r="AL164" s="253" t="s">
        <v>38</v>
      </c>
      <c r="AM164" s="276" t="s">
        <v>35</v>
      </c>
      <c r="AN164" s="276" t="s">
        <v>39</v>
      </c>
      <c r="AO164" s="275" t="s">
        <v>34</v>
      </c>
      <c r="AP164" s="275" t="s">
        <v>36</v>
      </c>
      <c r="AQ164" s="275" t="s">
        <v>40</v>
      </c>
      <c r="AR164" s="275" t="s">
        <v>41</v>
      </c>
    </row>
    <row r="165" spans="1:44" ht="30" customHeight="1">
      <c r="A165" s="513"/>
      <c r="B165" s="557"/>
      <c r="C165" s="560"/>
      <c r="D165" s="567"/>
      <c r="E165" s="37" t="s">
        <v>692</v>
      </c>
      <c r="F165" s="38" t="s">
        <v>693</v>
      </c>
      <c r="G165" s="38" t="s">
        <v>694</v>
      </c>
      <c r="H165" s="38" t="s">
        <v>695</v>
      </c>
      <c r="I165" s="59" t="s">
        <v>696</v>
      </c>
      <c r="J165" s="59" t="s">
        <v>697</v>
      </c>
      <c r="K165" s="58" t="s">
        <v>698</v>
      </c>
      <c r="L165" s="38" t="s">
        <v>699</v>
      </c>
      <c r="M165" s="456" t="s">
        <v>700</v>
      </c>
      <c r="N165" s="242" t="s">
        <v>48</v>
      </c>
      <c r="O165" s="414"/>
      <c r="P165" s="425"/>
      <c r="Q165" s="420" t="s">
        <v>48</v>
      </c>
      <c r="R165" s="102"/>
      <c r="V165" s="255" t="s">
        <v>691</v>
      </c>
      <c r="W165" s="256">
        <f t="shared" ref="W165:AB165" si="148">COUNTIF($E164:$N164,W164)</f>
        <v>6</v>
      </c>
      <c r="X165" s="256">
        <f t="shared" si="148"/>
        <v>0</v>
      </c>
      <c r="Y165" s="256">
        <f t="shared" si="148"/>
        <v>3</v>
      </c>
      <c r="Z165" s="256">
        <f t="shared" si="148"/>
        <v>0</v>
      </c>
      <c r="AA165" s="256">
        <f t="shared" si="148"/>
        <v>0</v>
      </c>
      <c r="AB165" s="256">
        <f t="shared" si="148"/>
        <v>0</v>
      </c>
      <c r="AC165" s="264"/>
      <c r="AD165" s="255" t="s">
        <v>691</v>
      </c>
      <c r="AE165" s="256" t="e">
        <f ca="1">colorcount($E165:$N165,$S$3)+colorcount($E165:$N165,$S$4)+colorcount($E165:$N165,$S$5)+colorcount($E165:$N165,$S$6)+colorcount($E165:$N165,$S$7)+colorcount($E165:$N165,$S$9)+colorcount($E165:$N165,$S$10)+colorcount($E165:$N165,$S$11)+colorcount($E165:$N165,$S$12)</f>
        <v>#NAME?</v>
      </c>
      <c r="AF165" s="256" t="e">
        <f ca="1">colorcount($E165:$N165,$S$15)</f>
        <v>#NAME?</v>
      </c>
      <c r="AG165" s="256" t="e">
        <f ca="1">colorcount($E165:$N165,$S$17)+colorcount($E165:$N165,$S$18)+colorcount($E165:$N165,$S$19)+colorcount($E165:$N165,$S$20)+colorcount($E165:$N165,$S$21)</f>
        <v>#NAME?</v>
      </c>
      <c r="AH165" s="256" t="e">
        <f ca="1">colorcount($E165:$N165,$S$23)</f>
        <v>#NAME?</v>
      </c>
      <c r="AI165" s="256" t="e">
        <f ca="1">colorcount($E165:$N165,$S$26)</f>
        <v>#NAME?</v>
      </c>
      <c r="AJ165" s="256" t="e">
        <f ca="1">colorcount($E165:$N165,$S$28)</f>
        <v>#NAME?</v>
      </c>
      <c r="AK165" s="264"/>
      <c r="AL165" s="255" t="s">
        <v>691</v>
      </c>
      <c r="AM165" s="277" t="e">
        <f t="shared" ref="AM165:AR165" ca="1" si="149">IF(W165=AE165,"O","X")</f>
        <v>#NAME?</v>
      </c>
      <c r="AN165" s="277" t="e">
        <f t="shared" ca="1" si="149"/>
        <v>#NAME?</v>
      </c>
      <c r="AO165" s="277" t="e">
        <f t="shared" ca="1" si="149"/>
        <v>#NAME?</v>
      </c>
      <c r="AP165" s="277" t="e">
        <f t="shared" ca="1" si="149"/>
        <v>#NAME?</v>
      </c>
      <c r="AQ165" s="277" t="e">
        <f t="shared" ca="1" si="149"/>
        <v>#NAME?</v>
      </c>
      <c r="AR165" s="277" t="e">
        <f t="shared" ca="1" si="149"/>
        <v>#NAME?</v>
      </c>
    </row>
    <row r="166" spans="1:44" ht="14.1" customHeight="1">
      <c r="A166" s="513" t="s">
        <v>701</v>
      </c>
      <c r="B166" s="557" t="s">
        <v>702</v>
      </c>
      <c r="C166" s="560"/>
      <c r="D166" s="567"/>
      <c r="E166" s="363" t="s">
        <v>34</v>
      </c>
      <c r="F166" s="218" t="s">
        <v>36</v>
      </c>
      <c r="G166" s="215" t="s">
        <v>34</v>
      </c>
      <c r="H166" s="215" t="s">
        <v>39</v>
      </c>
      <c r="I166" s="215" t="s">
        <v>34</v>
      </c>
      <c r="J166" s="218" t="s">
        <v>36</v>
      </c>
      <c r="K166" s="215" t="s">
        <v>34</v>
      </c>
      <c r="L166" s="215" t="s">
        <v>35</v>
      </c>
      <c r="M166" s="289" t="s">
        <v>41</v>
      </c>
      <c r="N166" s="241" t="s">
        <v>35</v>
      </c>
      <c r="O166" s="352"/>
      <c r="P166" s="147"/>
      <c r="Q166" s="158"/>
      <c r="R166" s="102"/>
      <c r="V166" s="253" t="s">
        <v>38</v>
      </c>
      <c r="W166" s="253" t="s">
        <v>35</v>
      </c>
      <c r="X166" s="253" t="s">
        <v>39</v>
      </c>
      <c r="Y166" s="275" t="s">
        <v>34</v>
      </c>
      <c r="Z166" s="275" t="s">
        <v>36</v>
      </c>
      <c r="AA166" s="275" t="s">
        <v>40</v>
      </c>
      <c r="AB166" s="275" t="s">
        <v>41</v>
      </c>
      <c r="AC166" s="264"/>
      <c r="AD166" s="253" t="s">
        <v>38</v>
      </c>
      <c r="AE166" s="253" t="s">
        <v>35</v>
      </c>
      <c r="AF166" s="253" t="s">
        <v>39</v>
      </c>
      <c r="AG166" s="275" t="s">
        <v>34</v>
      </c>
      <c r="AH166" s="275" t="s">
        <v>36</v>
      </c>
      <c r="AI166" s="275" t="s">
        <v>40</v>
      </c>
      <c r="AJ166" s="275" t="s">
        <v>41</v>
      </c>
      <c r="AK166" s="264"/>
      <c r="AL166" s="253" t="s">
        <v>38</v>
      </c>
      <c r="AM166" s="276" t="s">
        <v>35</v>
      </c>
      <c r="AN166" s="276" t="s">
        <v>39</v>
      </c>
      <c r="AO166" s="275" t="s">
        <v>34</v>
      </c>
      <c r="AP166" s="275" t="s">
        <v>36</v>
      </c>
      <c r="AQ166" s="275" t="s">
        <v>40</v>
      </c>
      <c r="AR166" s="275" t="s">
        <v>41</v>
      </c>
    </row>
    <row r="167" spans="1:44" ht="30" customHeight="1">
      <c r="A167" s="513"/>
      <c r="B167" s="557"/>
      <c r="C167" s="560"/>
      <c r="D167" s="567"/>
      <c r="E167" s="63" t="s">
        <v>703</v>
      </c>
      <c r="F167" s="220" t="s">
        <v>660</v>
      </c>
      <c r="G167" s="62" t="s">
        <v>1527</v>
      </c>
      <c r="H167" s="221" t="s">
        <v>58</v>
      </c>
      <c r="I167" s="62" t="s">
        <v>704</v>
      </c>
      <c r="J167" s="220" t="s">
        <v>660</v>
      </c>
      <c r="K167" s="58" t="s">
        <v>705</v>
      </c>
      <c r="L167" s="38" t="s">
        <v>706</v>
      </c>
      <c r="M167" s="228" t="s">
        <v>41</v>
      </c>
      <c r="N167" s="77" t="s">
        <v>707</v>
      </c>
      <c r="O167" s="408"/>
      <c r="P167" s="425"/>
      <c r="Q167" s="420" t="s">
        <v>48</v>
      </c>
      <c r="R167" s="102"/>
      <c r="V167" s="283" t="s">
        <v>702</v>
      </c>
      <c r="W167" s="256">
        <f t="shared" ref="W167:AB167" si="150">COUNTIF($E166:$N166,W166)</f>
        <v>2</v>
      </c>
      <c r="X167" s="256">
        <f t="shared" si="150"/>
        <v>1</v>
      </c>
      <c r="Y167" s="256">
        <f t="shared" si="150"/>
        <v>4</v>
      </c>
      <c r="Z167" s="256">
        <f t="shared" si="150"/>
        <v>2</v>
      </c>
      <c r="AA167" s="256">
        <f t="shared" si="150"/>
        <v>0</v>
      </c>
      <c r="AB167" s="256">
        <f t="shared" si="150"/>
        <v>1</v>
      </c>
      <c r="AC167" s="264"/>
      <c r="AD167" s="283" t="s">
        <v>702</v>
      </c>
      <c r="AE167" s="256" t="e">
        <f ca="1">colorcount($E167:$N167,$S$3)+colorcount($E167:$N167,$S$4)+colorcount($E167:$N167,$S$5)+colorcount($E167:$N167,$S$6)+colorcount($E167:$N167,$S$7)+colorcount($E167:$N167,$S$9)+colorcount($E167:$N167,$S$10)+colorcount($E167:$N167,$S$11)+colorcount($E167:$N167,$S$12)</f>
        <v>#NAME?</v>
      </c>
      <c r="AF167" s="256" t="e">
        <f ca="1">colorcount($E167:$N167,$S$15)</f>
        <v>#NAME?</v>
      </c>
      <c r="AG167" s="256" t="e">
        <f ca="1">colorcount($E167:$N167,$S$17)+colorcount($E167:$N167,$S$18)+colorcount($E167:$N167,$S$19)+colorcount($E167:$N167,$S$20)+colorcount($E167:$N167,$S$21)</f>
        <v>#NAME?</v>
      </c>
      <c r="AH167" s="256" t="e">
        <f ca="1">colorcount($E167:$N167,$S$23)</f>
        <v>#NAME?</v>
      </c>
      <c r="AI167" s="256" t="e">
        <f ca="1">colorcount($E167:$N167,$S$26)</f>
        <v>#NAME?</v>
      </c>
      <c r="AJ167" s="256" t="e">
        <f ca="1">colorcount($E167:$N167,$S$28)</f>
        <v>#NAME?</v>
      </c>
      <c r="AK167" s="264"/>
      <c r="AL167" s="283" t="s">
        <v>702</v>
      </c>
      <c r="AM167" s="277" t="e">
        <f t="shared" ref="AM167:AR167" ca="1" si="151">IF(W167=AE167,"O","X")</f>
        <v>#NAME?</v>
      </c>
      <c r="AN167" s="277" t="e">
        <f t="shared" ca="1" si="151"/>
        <v>#NAME?</v>
      </c>
      <c r="AO167" s="277" t="e">
        <f t="shared" ca="1" si="151"/>
        <v>#NAME?</v>
      </c>
      <c r="AP167" s="277" t="e">
        <f t="shared" ca="1" si="151"/>
        <v>#NAME?</v>
      </c>
      <c r="AQ167" s="277" t="e">
        <f t="shared" ca="1" si="151"/>
        <v>#NAME?</v>
      </c>
      <c r="AR167" s="277" t="e">
        <f t="shared" ca="1" si="151"/>
        <v>#NAME?</v>
      </c>
    </row>
    <row r="168" spans="1:44" ht="30" customHeight="1">
      <c r="A168" s="212"/>
      <c r="B168" s="222" t="s">
        <v>708</v>
      </c>
      <c r="C168" s="213"/>
      <c r="D168" s="360"/>
      <c r="E168" s="364" t="s">
        <v>48</v>
      </c>
      <c r="F168" s="217" t="s">
        <v>48</v>
      </c>
      <c r="G168" s="217" t="s">
        <v>48</v>
      </c>
      <c r="H168" s="40" t="s">
        <v>709</v>
      </c>
      <c r="I168" s="217" t="s">
        <v>48</v>
      </c>
      <c r="J168" s="217" t="s">
        <v>48</v>
      </c>
      <c r="K168" s="217" t="s">
        <v>48</v>
      </c>
      <c r="L168" s="217" t="s">
        <v>48</v>
      </c>
      <c r="M168" s="38" t="s">
        <v>710</v>
      </c>
      <c r="N168" s="242" t="s">
        <v>48</v>
      </c>
      <c r="O168" s="408"/>
      <c r="P168" s="147"/>
      <c r="Q168" s="158"/>
      <c r="R168" s="102"/>
      <c r="V168" s="283"/>
      <c r="W168" s="256"/>
      <c r="X168" s="256"/>
      <c r="Y168" s="256"/>
      <c r="Z168" s="256"/>
      <c r="AA168" s="256"/>
      <c r="AB168" s="256"/>
      <c r="AC168" s="264"/>
      <c r="AD168" s="283"/>
      <c r="AE168" s="256"/>
      <c r="AF168" s="256"/>
      <c r="AG168" s="256"/>
      <c r="AH168" s="256"/>
      <c r="AI168" s="256"/>
      <c r="AJ168" s="256"/>
      <c r="AK168" s="264"/>
      <c r="AL168" s="283"/>
      <c r="AM168" s="277"/>
      <c r="AN168" s="277"/>
      <c r="AO168" s="277"/>
      <c r="AP168" s="277"/>
      <c r="AQ168" s="277"/>
      <c r="AR168" s="277"/>
    </row>
    <row r="169" spans="1:44" ht="14.1" customHeight="1">
      <c r="A169" s="513" t="s">
        <v>711</v>
      </c>
      <c r="B169" s="557" t="s">
        <v>712</v>
      </c>
      <c r="C169" s="560"/>
      <c r="D169" s="567"/>
      <c r="E169" s="363" t="s">
        <v>35</v>
      </c>
      <c r="F169" s="215" t="s">
        <v>34</v>
      </c>
      <c r="G169" s="215" t="s">
        <v>34</v>
      </c>
      <c r="H169" s="215" t="s">
        <v>34</v>
      </c>
      <c r="I169" s="215" t="s">
        <v>34</v>
      </c>
      <c r="J169" s="215" t="s">
        <v>35</v>
      </c>
      <c r="K169" s="215" t="s">
        <v>34</v>
      </c>
      <c r="L169" s="215" t="s">
        <v>35</v>
      </c>
      <c r="M169" s="215" t="s">
        <v>35</v>
      </c>
      <c r="N169" s="241" t="s">
        <v>35</v>
      </c>
      <c r="O169" s="352"/>
      <c r="P169" s="147"/>
      <c r="Q169" s="158"/>
      <c r="R169" s="102"/>
      <c r="V169" s="253" t="s">
        <v>38</v>
      </c>
      <c r="W169" s="253" t="s">
        <v>35</v>
      </c>
      <c r="X169" s="253" t="s">
        <v>39</v>
      </c>
      <c r="Y169" s="275" t="s">
        <v>34</v>
      </c>
      <c r="Z169" s="275" t="s">
        <v>36</v>
      </c>
      <c r="AA169" s="275" t="s">
        <v>40</v>
      </c>
      <c r="AB169" s="275" t="s">
        <v>41</v>
      </c>
      <c r="AC169" s="264"/>
      <c r="AD169" s="253" t="s">
        <v>38</v>
      </c>
      <c r="AE169" s="253" t="s">
        <v>35</v>
      </c>
      <c r="AF169" s="253" t="s">
        <v>39</v>
      </c>
      <c r="AG169" s="275" t="s">
        <v>34</v>
      </c>
      <c r="AH169" s="275" t="s">
        <v>36</v>
      </c>
      <c r="AI169" s="275" t="s">
        <v>40</v>
      </c>
      <c r="AJ169" s="275" t="s">
        <v>41</v>
      </c>
      <c r="AK169" s="264"/>
      <c r="AL169" s="253" t="s">
        <v>38</v>
      </c>
      <c r="AM169" s="276" t="s">
        <v>35</v>
      </c>
      <c r="AN169" s="276" t="s">
        <v>39</v>
      </c>
      <c r="AO169" s="275" t="s">
        <v>34</v>
      </c>
      <c r="AP169" s="275" t="s">
        <v>36</v>
      </c>
      <c r="AQ169" s="275" t="s">
        <v>40</v>
      </c>
      <c r="AR169" s="275" t="s">
        <v>41</v>
      </c>
    </row>
    <row r="170" spans="1:44" ht="30" customHeight="1">
      <c r="A170" s="513"/>
      <c r="B170" s="557"/>
      <c r="C170" s="560"/>
      <c r="D170" s="567"/>
      <c r="E170" s="149" t="s">
        <v>713</v>
      </c>
      <c r="F170" s="59" t="s">
        <v>1560</v>
      </c>
      <c r="G170" s="58" t="s">
        <v>714</v>
      </c>
      <c r="H170" s="58" t="s">
        <v>715</v>
      </c>
      <c r="I170" s="59" t="s">
        <v>1523</v>
      </c>
      <c r="J170" s="38" t="s">
        <v>717</v>
      </c>
      <c r="K170" s="59" t="s">
        <v>657</v>
      </c>
      <c r="L170" s="38" t="s">
        <v>718</v>
      </c>
      <c r="M170" s="38" t="s">
        <v>719</v>
      </c>
      <c r="N170" s="78" t="s">
        <v>720</v>
      </c>
      <c r="O170" s="408"/>
      <c r="P170" s="425"/>
      <c r="Q170" s="420" t="s">
        <v>48</v>
      </c>
      <c r="R170" s="102"/>
      <c r="V170" s="283" t="s">
        <v>712</v>
      </c>
      <c r="W170" s="256">
        <f t="shared" ref="W170:AB170" si="152">COUNTIF($E169:$N169,W169)</f>
        <v>5</v>
      </c>
      <c r="X170" s="256">
        <f t="shared" si="152"/>
        <v>0</v>
      </c>
      <c r="Y170" s="256">
        <f t="shared" si="152"/>
        <v>5</v>
      </c>
      <c r="Z170" s="256">
        <f t="shared" si="152"/>
        <v>0</v>
      </c>
      <c r="AA170" s="256">
        <f t="shared" si="152"/>
        <v>0</v>
      </c>
      <c r="AB170" s="256">
        <f t="shared" si="152"/>
        <v>0</v>
      </c>
      <c r="AC170" s="264"/>
      <c r="AD170" s="283" t="s">
        <v>712</v>
      </c>
      <c r="AE170" s="256" t="e">
        <f ca="1">colorcount($E170:$N170,$S$3)+colorcount($E170:$N170,$S$4)+colorcount($E170:$N170,$S$5)+colorcount($E170:$N170,$S$6)+colorcount($E170:$N170,$S$7)+colorcount($E170:$N170,$S$9)+colorcount($E170:$N170,$S$10)+colorcount($E170:$N170,$S$11)+colorcount($E170:$N170,$S$12)</f>
        <v>#NAME?</v>
      </c>
      <c r="AF170" s="256" t="e">
        <f ca="1">colorcount($E170:$N170,$S$15)</f>
        <v>#NAME?</v>
      </c>
      <c r="AG170" s="256" t="e">
        <f ca="1">colorcount($E170:$N170,$S$17)+colorcount($E170:$N170,$S$18)+colorcount($E170:$N170,$S$19)+colorcount($E170:$N170,$S$20)+colorcount($E170:$N170,$S$21)</f>
        <v>#NAME?</v>
      </c>
      <c r="AH170" s="256" t="e">
        <f ca="1">colorcount($E170:$N170,$S$23)</f>
        <v>#NAME?</v>
      </c>
      <c r="AI170" s="256" t="e">
        <f ca="1">colorcount($E170:$N170,$S$26)</f>
        <v>#NAME?</v>
      </c>
      <c r="AJ170" s="256" t="e">
        <f ca="1">colorcount($E170:$N170,$S$28)</f>
        <v>#NAME?</v>
      </c>
      <c r="AK170" s="264"/>
      <c r="AL170" s="283" t="s">
        <v>712</v>
      </c>
      <c r="AM170" s="277" t="e">
        <f t="shared" ref="AM170:AR170" ca="1" si="153">IF(W170=AE170,"O","X")</f>
        <v>#NAME?</v>
      </c>
      <c r="AN170" s="277" t="e">
        <f t="shared" ca="1" si="153"/>
        <v>#NAME?</v>
      </c>
      <c r="AO170" s="277" t="e">
        <f t="shared" ca="1" si="153"/>
        <v>#NAME?</v>
      </c>
      <c r="AP170" s="277" t="e">
        <f t="shared" ca="1" si="153"/>
        <v>#NAME?</v>
      </c>
      <c r="AQ170" s="277" t="e">
        <f t="shared" ca="1" si="153"/>
        <v>#NAME?</v>
      </c>
      <c r="AR170" s="277" t="e">
        <f t="shared" ca="1" si="153"/>
        <v>#NAME?</v>
      </c>
    </row>
    <row r="171" spans="1:44" ht="14.1" customHeight="1">
      <c r="A171" s="513" t="s">
        <v>721</v>
      </c>
      <c r="B171" s="557" t="s">
        <v>722</v>
      </c>
      <c r="C171" s="560"/>
      <c r="D171" s="567"/>
      <c r="E171" s="363" t="s">
        <v>34</v>
      </c>
      <c r="F171" s="215" t="s">
        <v>35</v>
      </c>
      <c r="G171" s="215" t="s">
        <v>34</v>
      </c>
      <c r="H171" s="215" t="s">
        <v>35</v>
      </c>
      <c r="I171" s="215" t="s">
        <v>35</v>
      </c>
      <c r="J171" s="215" t="s">
        <v>35</v>
      </c>
      <c r="K171" s="215" t="s">
        <v>35</v>
      </c>
      <c r="L171" s="215" t="s">
        <v>35</v>
      </c>
      <c r="M171" s="218" t="s">
        <v>36</v>
      </c>
      <c r="N171" s="241"/>
      <c r="O171" s="352"/>
      <c r="P171" s="147"/>
      <c r="Q171" s="158"/>
      <c r="R171" s="102"/>
      <c r="V171" s="253" t="s">
        <v>38</v>
      </c>
      <c r="W171" s="253" t="s">
        <v>35</v>
      </c>
      <c r="X171" s="253" t="s">
        <v>39</v>
      </c>
      <c r="Y171" s="275" t="s">
        <v>34</v>
      </c>
      <c r="Z171" s="275" t="s">
        <v>36</v>
      </c>
      <c r="AA171" s="275" t="s">
        <v>40</v>
      </c>
      <c r="AB171" s="275" t="s">
        <v>41</v>
      </c>
      <c r="AC171" s="264"/>
      <c r="AD171" s="253" t="s">
        <v>38</v>
      </c>
      <c r="AE171" s="253" t="s">
        <v>35</v>
      </c>
      <c r="AF171" s="253" t="s">
        <v>39</v>
      </c>
      <c r="AG171" s="275" t="s">
        <v>34</v>
      </c>
      <c r="AH171" s="275" t="s">
        <v>36</v>
      </c>
      <c r="AI171" s="275" t="s">
        <v>40</v>
      </c>
      <c r="AJ171" s="275" t="s">
        <v>41</v>
      </c>
      <c r="AK171" s="264"/>
      <c r="AL171" s="253" t="s">
        <v>38</v>
      </c>
      <c r="AM171" s="276" t="s">
        <v>35</v>
      </c>
      <c r="AN171" s="276" t="s">
        <v>39</v>
      </c>
      <c r="AO171" s="275" t="s">
        <v>34</v>
      </c>
      <c r="AP171" s="275" t="s">
        <v>36</v>
      </c>
      <c r="AQ171" s="275" t="s">
        <v>40</v>
      </c>
      <c r="AR171" s="275" t="s">
        <v>41</v>
      </c>
    </row>
    <row r="172" spans="1:44" ht="30" customHeight="1">
      <c r="A172" s="513"/>
      <c r="B172" s="557"/>
      <c r="C172" s="560"/>
      <c r="D172" s="567"/>
      <c r="E172" s="64" t="s">
        <v>1523</v>
      </c>
      <c r="F172" s="46" t="s">
        <v>1642</v>
      </c>
      <c r="G172" s="58" t="s">
        <v>655</v>
      </c>
      <c r="H172" s="43" t="s">
        <v>723</v>
      </c>
      <c r="I172" s="38" t="s">
        <v>724</v>
      </c>
      <c r="J172" s="66" t="s">
        <v>301</v>
      </c>
      <c r="K172" s="46" t="s">
        <v>1662</v>
      </c>
      <c r="L172" s="38" t="s">
        <v>725</v>
      </c>
      <c r="M172" s="220" t="s">
        <v>660</v>
      </c>
      <c r="N172" s="457" t="s">
        <v>305</v>
      </c>
      <c r="O172" s="408"/>
      <c r="P172" s="425"/>
      <c r="Q172" s="420" t="s">
        <v>48</v>
      </c>
      <c r="R172" s="102"/>
      <c r="V172" s="283" t="s">
        <v>722</v>
      </c>
      <c r="W172" s="256">
        <f t="shared" ref="W172:AB172" si="154">COUNTIF($E171:$N171,W171)</f>
        <v>6</v>
      </c>
      <c r="X172" s="256">
        <f t="shared" si="154"/>
        <v>0</v>
      </c>
      <c r="Y172" s="256">
        <f t="shared" si="154"/>
        <v>2</v>
      </c>
      <c r="Z172" s="256">
        <f t="shared" si="154"/>
        <v>1</v>
      </c>
      <c r="AA172" s="256">
        <f t="shared" si="154"/>
        <v>0</v>
      </c>
      <c r="AB172" s="256">
        <f t="shared" si="154"/>
        <v>0</v>
      </c>
      <c r="AC172" s="264"/>
      <c r="AD172" s="283" t="s">
        <v>722</v>
      </c>
      <c r="AE172" s="256" t="e">
        <f ca="1">colorcount($E172:$M172,$S$3)+colorcount($E172:$M172,$S$4)+colorcount($E172:$M172,$S$5)+colorcount($E172:$M172,$S$6)+colorcount($E172:$M172,$S$7)+colorcount($E172:$M172,$S$9)+colorcount($E172:$M172,$S$10)+colorcount($E172:$M172,$S$11)+colorcount($E172:$M172,$S$12)</f>
        <v>#NAME?</v>
      </c>
      <c r="AF172" s="256" t="e">
        <f ca="1">colorcount($E172:$M172,$S$15)</f>
        <v>#NAME?</v>
      </c>
      <c r="AG172" s="256" t="e">
        <f ca="1">colorcount($E172:$M172,$S$17)+colorcount($E172:$M172,$S$18)+colorcount($E172:$M172,$S$19)+colorcount($E172:$M172,$S$20)+colorcount($E172:$M172,$S$21)</f>
        <v>#NAME?</v>
      </c>
      <c r="AH172" s="256" t="e">
        <f ca="1">colorcount($E172:$M172,$S$23)</f>
        <v>#NAME?</v>
      </c>
      <c r="AI172" s="256" t="e">
        <f ca="1">colorcount($E172:$M172,$S$26)</f>
        <v>#NAME?</v>
      </c>
      <c r="AJ172" s="256" t="e">
        <f ca="1">colorcount($E172:$M172,$S$28)</f>
        <v>#NAME?</v>
      </c>
      <c r="AK172" s="264"/>
      <c r="AL172" s="283" t="s">
        <v>722</v>
      </c>
      <c r="AM172" s="277" t="e">
        <f t="shared" ref="AM172:AR172" ca="1" si="155">IF(W172=AE172,"O","X")</f>
        <v>#NAME?</v>
      </c>
      <c r="AN172" s="277" t="e">
        <f t="shared" ca="1" si="155"/>
        <v>#NAME?</v>
      </c>
      <c r="AO172" s="277" t="e">
        <f t="shared" ca="1" si="155"/>
        <v>#NAME?</v>
      </c>
      <c r="AP172" s="277" t="e">
        <f t="shared" ca="1" si="155"/>
        <v>#NAME?</v>
      </c>
      <c r="AQ172" s="277" t="e">
        <f t="shared" ca="1" si="155"/>
        <v>#NAME?</v>
      </c>
      <c r="AR172" s="277" t="e">
        <f t="shared" ca="1" si="155"/>
        <v>#NAME?</v>
      </c>
    </row>
    <row r="173" spans="1:44" ht="14.1" customHeight="1">
      <c r="A173" s="513" t="s">
        <v>726</v>
      </c>
      <c r="B173" s="559" t="s">
        <v>727</v>
      </c>
      <c r="C173" s="560"/>
      <c r="D173" s="567"/>
      <c r="E173" s="363" t="s">
        <v>34</v>
      </c>
      <c r="F173" s="215" t="s">
        <v>34</v>
      </c>
      <c r="G173" s="215" t="s">
        <v>35</v>
      </c>
      <c r="H173" s="215" t="s">
        <v>34</v>
      </c>
      <c r="I173" s="215" t="s">
        <v>34</v>
      </c>
      <c r="J173" s="215" t="s">
        <v>35</v>
      </c>
      <c r="K173" s="215" t="s">
        <v>34</v>
      </c>
      <c r="L173" s="215" t="s">
        <v>35</v>
      </c>
      <c r="M173" s="215" t="s">
        <v>35</v>
      </c>
      <c r="N173" s="241" t="s">
        <v>35</v>
      </c>
      <c r="O173" s="352"/>
      <c r="P173" s="147"/>
      <c r="Q173" s="158"/>
      <c r="R173" s="102"/>
      <c r="V173" s="253" t="s">
        <v>38</v>
      </c>
      <c r="W173" s="253" t="s">
        <v>35</v>
      </c>
      <c r="X173" s="253" t="s">
        <v>39</v>
      </c>
      <c r="Y173" s="275" t="s">
        <v>34</v>
      </c>
      <c r="Z173" s="275" t="s">
        <v>36</v>
      </c>
      <c r="AA173" s="275" t="s">
        <v>40</v>
      </c>
      <c r="AB173" s="275" t="s">
        <v>41</v>
      </c>
      <c r="AC173" s="264"/>
      <c r="AD173" s="253" t="s">
        <v>38</v>
      </c>
      <c r="AE173" s="253" t="s">
        <v>35</v>
      </c>
      <c r="AF173" s="253" t="s">
        <v>39</v>
      </c>
      <c r="AG173" s="275" t="s">
        <v>34</v>
      </c>
      <c r="AH173" s="275" t="s">
        <v>36</v>
      </c>
      <c r="AI173" s="275" t="s">
        <v>40</v>
      </c>
      <c r="AJ173" s="275" t="s">
        <v>41</v>
      </c>
      <c r="AK173" s="264"/>
      <c r="AL173" s="253" t="s">
        <v>38</v>
      </c>
      <c r="AM173" s="276" t="s">
        <v>35</v>
      </c>
      <c r="AN173" s="276" t="s">
        <v>39</v>
      </c>
      <c r="AO173" s="275" t="s">
        <v>34</v>
      </c>
      <c r="AP173" s="275" t="s">
        <v>36</v>
      </c>
      <c r="AQ173" s="275" t="s">
        <v>40</v>
      </c>
      <c r="AR173" s="275" t="s">
        <v>41</v>
      </c>
    </row>
    <row r="174" spans="1:44" ht="30" customHeight="1">
      <c r="A174" s="513"/>
      <c r="B174" s="559"/>
      <c r="C174" s="560"/>
      <c r="D174" s="567"/>
      <c r="E174" s="63" t="s">
        <v>728</v>
      </c>
      <c r="F174" s="62" t="s">
        <v>657</v>
      </c>
      <c r="G174" s="42" t="s">
        <v>729</v>
      </c>
      <c r="H174" s="59" t="s">
        <v>688</v>
      </c>
      <c r="I174" s="59" t="s">
        <v>730</v>
      </c>
      <c r="J174" s="38" t="s">
        <v>731</v>
      </c>
      <c r="K174" s="59" t="s">
        <v>732</v>
      </c>
      <c r="L174" s="38" t="s">
        <v>733</v>
      </c>
      <c r="M174" s="40" t="s">
        <v>341</v>
      </c>
      <c r="N174" s="77" t="s">
        <v>466</v>
      </c>
      <c r="O174" s="408"/>
      <c r="P174" s="425"/>
      <c r="Q174" s="420" t="s">
        <v>48</v>
      </c>
      <c r="R174" s="102"/>
      <c r="V174" s="283" t="s">
        <v>727</v>
      </c>
      <c r="W174" s="256">
        <f t="shared" ref="W174:AB174" si="156">COUNTIF($E173:$M173,W173)</f>
        <v>4</v>
      </c>
      <c r="X174" s="256">
        <f t="shared" si="156"/>
        <v>0</v>
      </c>
      <c r="Y174" s="256">
        <f t="shared" si="156"/>
        <v>5</v>
      </c>
      <c r="Z174" s="256">
        <f t="shared" si="156"/>
        <v>0</v>
      </c>
      <c r="AA174" s="256">
        <f t="shared" si="156"/>
        <v>0</v>
      </c>
      <c r="AB174" s="256">
        <f t="shared" si="156"/>
        <v>0</v>
      </c>
      <c r="AC174" s="264"/>
      <c r="AD174" s="283" t="s">
        <v>727</v>
      </c>
      <c r="AE174" s="256" t="e">
        <f ca="1">colorcount($E174:$M174,$S$3)+colorcount($E174:$M174,$S$4)+colorcount($E174:$M174,$S$5)+colorcount($E174:$M174,$S$6)+colorcount($E174:$M174,$S$7)+colorcount($E174:$M174,$S$9)+colorcount($E174:$M174,$S$10)+colorcount($E174:$M174,$S$11)+colorcount($E174:$M174,$S$12)</f>
        <v>#NAME?</v>
      </c>
      <c r="AF174" s="256" t="e">
        <f ca="1">colorcount($E174:$M174,$S$15)</f>
        <v>#NAME?</v>
      </c>
      <c r="AG174" s="256" t="e">
        <f ca="1">colorcount($E174:$M174,$S$17)+colorcount($E174:$M174,$S$18)+colorcount($E174:$M174,$S$19)+colorcount($E174:$M174,$S$20)+colorcount($E174:$M174,$S$21)</f>
        <v>#NAME?</v>
      </c>
      <c r="AH174" s="256" t="e">
        <f ca="1">colorcount($E174:$M174,$S$23)</f>
        <v>#NAME?</v>
      </c>
      <c r="AI174" s="256" t="e">
        <f ca="1">colorcount($E174:$M174,$S$26)</f>
        <v>#NAME?</v>
      </c>
      <c r="AJ174" s="256" t="e">
        <f ca="1">colorcount($E174:$M174,$S$28)</f>
        <v>#NAME?</v>
      </c>
      <c r="AK174" s="264"/>
      <c r="AL174" s="283" t="s">
        <v>727</v>
      </c>
      <c r="AM174" s="277" t="e">
        <f t="shared" ref="AM174:AR174" ca="1" si="157">IF(W174=AE174,"O","X")</f>
        <v>#NAME?</v>
      </c>
      <c r="AN174" s="277" t="e">
        <f t="shared" ca="1" si="157"/>
        <v>#NAME?</v>
      </c>
      <c r="AO174" s="277" t="e">
        <f t="shared" ca="1" si="157"/>
        <v>#NAME?</v>
      </c>
      <c r="AP174" s="277" t="e">
        <f t="shared" ca="1" si="157"/>
        <v>#NAME?</v>
      </c>
      <c r="AQ174" s="277" t="e">
        <f t="shared" ca="1" si="157"/>
        <v>#NAME?</v>
      </c>
      <c r="AR174" s="277" t="e">
        <f t="shared" ca="1" si="157"/>
        <v>#NAME?</v>
      </c>
    </row>
    <row r="175" spans="1:44" ht="14.1" customHeight="1">
      <c r="A175" s="513" t="s">
        <v>735</v>
      </c>
      <c r="B175" s="557" t="s">
        <v>179</v>
      </c>
      <c r="C175" s="560"/>
      <c r="D175" s="567"/>
      <c r="E175" s="363" t="s">
        <v>35</v>
      </c>
      <c r="F175" s="215" t="s">
        <v>35</v>
      </c>
      <c r="G175" s="215" t="s">
        <v>34</v>
      </c>
      <c r="H175" s="215" t="s">
        <v>35</v>
      </c>
      <c r="I175" s="215" t="s">
        <v>34</v>
      </c>
      <c r="J175" s="215" t="s">
        <v>35</v>
      </c>
      <c r="K175" s="215" t="s">
        <v>34</v>
      </c>
      <c r="L175" s="215" t="s">
        <v>35</v>
      </c>
      <c r="M175" s="218" t="s">
        <v>36</v>
      </c>
      <c r="N175" s="241" t="s">
        <v>35</v>
      </c>
      <c r="O175" s="352"/>
      <c r="P175" s="147"/>
      <c r="Q175" s="158"/>
      <c r="R175" s="102"/>
      <c r="V175" s="253" t="s">
        <v>38</v>
      </c>
      <c r="W175" s="253" t="s">
        <v>35</v>
      </c>
      <c r="X175" s="253" t="s">
        <v>39</v>
      </c>
      <c r="Y175" s="275" t="s">
        <v>34</v>
      </c>
      <c r="Z175" s="275" t="s">
        <v>36</v>
      </c>
      <c r="AA175" s="275" t="s">
        <v>40</v>
      </c>
      <c r="AB175" s="275" t="s">
        <v>41</v>
      </c>
      <c r="AC175" s="264"/>
      <c r="AD175" s="253" t="s">
        <v>38</v>
      </c>
      <c r="AE175" s="253" t="s">
        <v>35</v>
      </c>
      <c r="AF175" s="253" t="s">
        <v>39</v>
      </c>
      <c r="AG175" s="275" t="s">
        <v>34</v>
      </c>
      <c r="AH175" s="275" t="s">
        <v>36</v>
      </c>
      <c r="AI175" s="275" t="s">
        <v>40</v>
      </c>
      <c r="AJ175" s="275" t="s">
        <v>41</v>
      </c>
      <c r="AK175" s="264"/>
      <c r="AL175" s="253" t="s">
        <v>38</v>
      </c>
      <c r="AM175" s="276" t="s">
        <v>35</v>
      </c>
      <c r="AN175" s="276" t="s">
        <v>39</v>
      </c>
      <c r="AO175" s="275" t="s">
        <v>34</v>
      </c>
      <c r="AP175" s="275" t="s">
        <v>36</v>
      </c>
      <c r="AQ175" s="275" t="s">
        <v>40</v>
      </c>
      <c r="AR175" s="275" t="s">
        <v>41</v>
      </c>
    </row>
    <row r="176" spans="1:44" ht="30" customHeight="1">
      <c r="A176" s="513"/>
      <c r="B176" s="557"/>
      <c r="C176" s="560"/>
      <c r="D176" s="567"/>
      <c r="E176" s="51" t="s">
        <v>1644</v>
      </c>
      <c r="F176" s="46" t="s">
        <v>1769</v>
      </c>
      <c r="G176" s="62" t="s">
        <v>736</v>
      </c>
      <c r="H176" s="38" t="s">
        <v>737</v>
      </c>
      <c r="I176" s="443" t="s">
        <v>1585</v>
      </c>
      <c r="J176" s="38" t="s">
        <v>738</v>
      </c>
      <c r="K176" s="62" t="s">
        <v>739</v>
      </c>
      <c r="L176" s="38" t="s">
        <v>740</v>
      </c>
      <c r="M176" s="220" t="s">
        <v>660</v>
      </c>
      <c r="N176" s="77" t="s">
        <v>515</v>
      </c>
      <c r="O176" s="408"/>
      <c r="P176" s="425"/>
      <c r="Q176" s="420" t="s">
        <v>48</v>
      </c>
      <c r="R176" s="102"/>
      <c r="V176" s="283" t="s">
        <v>179</v>
      </c>
      <c r="W176" s="256">
        <f t="shared" ref="W176:AB176" si="158">COUNTIF($E175:$N175,W175)</f>
        <v>6</v>
      </c>
      <c r="X176" s="256">
        <f t="shared" si="158"/>
        <v>0</v>
      </c>
      <c r="Y176" s="256">
        <f t="shared" si="158"/>
        <v>3</v>
      </c>
      <c r="Z176" s="256">
        <f t="shared" si="158"/>
        <v>1</v>
      </c>
      <c r="AA176" s="256">
        <f t="shared" si="158"/>
        <v>0</v>
      </c>
      <c r="AB176" s="256">
        <f t="shared" si="158"/>
        <v>0</v>
      </c>
      <c r="AC176" s="264"/>
      <c r="AD176" s="283" t="s">
        <v>179</v>
      </c>
      <c r="AE176" s="256" t="e">
        <f ca="1">colorcount($E176:$N176,$S$3)+colorcount($E176:$N176,$S$4)+colorcount($E176:$N176,$S$5)+colorcount($E176:$N176,$S$6)+colorcount($E176:$N176,$S$7)+colorcount($E176:$N176,$S$9)+colorcount($E176:$N176,$S$10)+colorcount($E176:$N176,$S$11)+colorcount($E176:$N176,$S$12)</f>
        <v>#NAME?</v>
      </c>
      <c r="AF176" s="256" t="e">
        <f ca="1">colorcount($E176:$N176,$S$15)</f>
        <v>#NAME?</v>
      </c>
      <c r="AG176" s="256" t="e">
        <f ca="1">colorcount($E176:$N176,$S$17)+colorcount($E176:$N176,$S$18)+colorcount($E176:$N176,$S$19)+colorcount($E176:$N176,$S$20)+colorcount($E176:$N176,$S$21)</f>
        <v>#NAME?</v>
      </c>
      <c r="AH176" s="256" t="e">
        <f ca="1">colorcount($E176:$N176,$S$23)</f>
        <v>#NAME?</v>
      </c>
      <c r="AI176" s="256" t="e">
        <f ca="1">colorcount($E176:$N176,$S$26)</f>
        <v>#NAME?</v>
      </c>
      <c r="AJ176" s="256" t="e">
        <f ca="1">colorcount($E176:$N176,$S$28)</f>
        <v>#NAME?</v>
      </c>
      <c r="AK176" s="264"/>
      <c r="AL176" s="283" t="s">
        <v>179</v>
      </c>
      <c r="AM176" s="277" t="e">
        <f t="shared" ref="AM176:AR176" ca="1" si="159">IF(W176=AE176,"O","X")</f>
        <v>#NAME?</v>
      </c>
      <c r="AN176" s="277" t="e">
        <f t="shared" ca="1" si="159"/>
        <v>#NAME?</v>
      </c>
      <c r="AO176" s="277" t="e">
        <f t="shared" ca="1" si="159"/>
        <v>#NAME?</v>
      </c>
      <c r="AP176" s="277" t="e">
        <f t="shared" ca="1" si="159"/>
        <v>#NAME?</v>
      </c>
      <c r="AQ176" s="277" t="e">
        <f t="shared" ca="1" si="159"/>
        <v>#NAME?</v>
      </c>
      <c r="AR176" s="277" t="e">
        <f t="shared" ca="1" si="159"/>
        <v>#NAME?</v>
      </c>
    </row>
    <row r="177" spans="1:44" ht="14.1" customHeight="1">
      <c r="A177" s="513" t="s">
        <v>741</v>
      </c>
      <c r="B177" s="557" t="s">
        <v>742</v>
      </c>
      <c r="C177" s="566"/>
      <c r="D177" s="567"/>
      <c r="E177" s="363" t="s">
        <v>34</v>
      </c>
      <c r="F177" s="215" t="s">
        <v>35</v>
      </c>
      <c r="G177" s="215" t="s">
        <v>35</v>
      </c>
      <c r="H177" s="215" t="s">
        <v>35</v>
      </c>
      <c r="I177" s="215" t="s">
        <v>35</v>
      </c>
      <c r="J177" s="215" t="s">
        <v>34</v>
      </c>
      <c r="K177" s="215" t="s">
        <v>39</v>
      </c>
      <c r="L177" s="215" t="s">
        <v>35</v>
      </c>
      <c r="M177" s="215" t="s">
        <v>35</v>
      </c>
      <c r="N177" s="241" t="s">
        <v>35</v>
      </c>
      <c r="O177" s="413"/>
      <c r="P177" s="147"/>
      <c r="Q177" s="158"/>
      <c r="R177" s="102"/>
      <c r="V177" s="253" t="s">
        <v>38</v>
      </c>
      <c r="W177" s="253" t="s">
        <v>35</v>
      </c>
      <c r="X177" s="253" t="s">
        <v>39</v>
      </c>
      <c r="Y177" s="275" t="s">
        <v>34</v>
      </c>
      <c r="Z177" s="275" t="s">
        <v>36</v>
      </c>
      <c r="AA177" s="275" t="s">
        <v>40</v>
      </c>
      <c r="AB177" s="275" t="s">
        <v>41</v>
      </c>
      <c r="AC177" s="264"/>
      <c r="AD177" s="253" t="s">
        <v>38</v>
      </c>
      <c r="AE177" s="253" t="s">
        <v>35</v>
      </c>
      <c r="AF177" s="253" t="s">
        <v>39</v>
      </c>
      <c r="AG177" s="275" t="s">
        <v>34</v>
      </c>
      <c r="AH177" s="275" t="s">
        <v>36</v>
      </c>
      <c r="AI177" s="275" t="s">
        <v>40</v>
      </c>
      <c r="AJ177" s="275" t="s">
        <v>41</v>
      </c>
      <c r="AK177" s="264"/>
      <c r="AL177" s="253" t="s">
        <v>38</v>
      </c>
      <c r="AM177" s="276" t="s">
        <v>35</v>
      </c>
      <c r="AN177" s="276" t="s">
        <v>39</v>
      </c>
      <c r="AO177" s="275" t="s">
        <v>34</v>
      </c>
      <c r="AP177" s="275" t="s">
        <v>36</v>
      </c>
      <c r="AQ177" s="275" t="s">
        <v>40</v>
      </c>
      <c r="AR177" s="275" t="s">
        <v>41</v>
      </c>
    </row>
    <row r="178" spans="1:44" ht="30" customHeight="1">
      <c r="A178" s="513"/>
      <c r="B178" s="557"/>
      <c r="C178" s="560"/>
      <c r="D178" s="567"/>
      <c r="E178" s="64" t="s">
        <v>696</v>
      </c>
      <c r="F178" s="46" t="s">
        <v>1680</v>
      </c>
      <c r="G178" s="38" t="s">
        <v>743</v>
      </c>
      <c r="H178" s="38" t="s">
        <v>744</v>
      </c>
      <c r="I178" s="46" t="s">
        <v>1636</v>
      </c>
      <c r="J178" s="443" t="s">
        <v>1585</v>
      </c>
      <c r="K178" s="221" t="s">
        <v>235</v>
      </c>
      <c r="L178" s="46" t="s">
        <v>1770</v>
      </c>
      <c r="M178" s="38" t="s">
        <v>1582</v>
      </c>
      <c r="N178" s="77" t="s">
        <v>745</v>
      </c>
      <c r="O178" s="413"/>
      <c r="P178" s="425"/>
      <c r="Q178" s="420" t="s">
        <v>48</v>
      </c>
      <c r="R178" s="102"/>
      <c r="V178" s="283" t="s">
        <v>742</v>
      </c>
      <c r="W178" s="256">
        <f t="shared" ref="W178:AB178" si="160">COUNTIF($E177:$N177,W177)</f>
        <v>7</v>
      </c>
      <c r="X178" s="256">
        <f t="shared" si="160"/>
        <v>1</v>
      </c>
      <c r="Y178" s="256">
        <f t="shared" si="160"/>
        <v>2</v>
      </c>
      <c r="Z178" s="256">
        <f t="shared" si="160"/>
        <v>0</v>
      </c>
      <c r="AA178" s="256">
        <f t="shared" si="160"/>
        <v>0</v>
      </c>
      <c r="AB178" s="256">
        <f t="shared" si="160"/>
        <v>0</v>
      </c>
      <c r="AC178" s="264"/>
      <c r="AD178" s="283" t="s">
        <v>742</v>
      </c>
      <c r="AE178" s="256" t="e">
        <f ca="1">colorcount($E178:$N178,$S$3)+colorcount($E178:$N178,$S$4)+colorcount($E178:$N178,$S$5)+colorcount($E178:$N178,$S$6)+colorcount($E178:$N178,$S$7)+colorcount($E178:$N178,$S$9)+colorcount($E178:$N178,$S$10)+colorcount($E178:$N178,$S$11)+colorcount($E178:$N178,$S$12)</f>
        <v>#NAME?</v>
      </c>
      <c r="AF178" s="256" t="e">
        <f ca="1">colorcount($E178:$N178,$S$15)</f>
        <v>#NAME?</v>
      </c>
      <c r="AG178" s="256" t="e">
        <f ca="1">colorcount($E178:$N178,$S$17)+colorcount($E178:$N178,$S$18)+colorcount($E178:$N178,$S$19)+colorcount($E178:$N178,$S$20)+colorcount($E178:$N178,$S$21)</f>
        <v>#NAME?</v>
      </c>
      <c r="AH178" s="256" t="e">
        <f ca="1">colorcount($E178:$N178,$S$23)</f>
        <v>#NAME?</v>
      </c>
      <c r="AI178" s="256" t="e">
        <f ca="1">colorcount($E178:$N178,$S$26)</f>
        <v>#NAME?</v>
      </c>
      <c r="AJ178" s="256" t="e">
        <f ca="1">colorcount($E178:$N178,$S$28)</f>
        <v>#NAME?</v>
      </c>
      <c r="AK178" s="264"/>
      <c r="AL178" s="283" t="s">
        <v>742</v>
      </c>
      <c r="AM178" s="277" t="e">
        <f t="shared" ref="AM178:AR178" ca="1" si="161">IF(W178=AE178,"O","X")</f>
        <v>#NAME?</v>
      </c>
      <c r="AN178" s="277" t="e">
        <f t="shared" ca="1" si="161"/>
        <v>#NAME?</v>
      </c>
      <c r="AO178" s="277" t="e">
        <f t="shared" ca="1" si="161"/>
        <v>#NAME?</v>
      </c>
      <c r="AP178" s="277" t="e">
        <f t="shared" ca="1" si="161"/>
        <v>#NAME?</v>
      </c>
      <c r="AQ178" s="277" t="e">
        <f t="shared" ca="1" si="161"/>
        <v>#NAME?</v>
      </c>
      <c r="AR178" s="277" t="e">
        <f t="shared" ca="1" si="161"/>
        <v>#NAME?</v>
      </c>
    </row>
    <row r="179" spans="1:44" ht="14.1" customHeight="1">
      <c r="A179" s="513" t="s">
        <v>746</v>
      </c>
      <c r="B179" s="557" t="s">
        <v>747</v>
      </c>
      <c r="C179" s="560"/>
      <c r="D179" s="567"/>
      <c r="E179" s="363" t="s">
        <v>35</v>
      </c>
      <c r="F179" s="215" t="s">
        <v>34</v>
      </c>
      <c r="G179" s="215" t="s">
        <v>35</v>
      </c>
      <c r="H179" s="215" t="s">
        <v>34</v>
      </c>
      <c r="I179" s="215" t="s">
        <v>35</v>
      </c>
      <c r="J179" s="215" t="s">
        <v>34</v>
      </c>
      <c r="K179" s="215" t="s">
        <v>34</v>
      </c>
      <c r="L179" s="215" t="s">
        <v>34</v>
      </c>
      <c r="M179" s="215" t="s">
        <v>35</v>
      </c>
      <c r="N179" s="241" t="s">
        <v>35</v>
      </c>
      <c r="O179" s="413"/>
      <c r="P179" s="147"/>
      <c r="Q179" s="158"/>
      <c r="R179" s="102"/>
      <c r="V179" s="253" t="s">
        <v>38</v>
      </c>
      <c r="W179" s="253" t="s">
        <v>35</v>
      </c>
      <c r="X179" s="253" t="s">
        <v>39</v>
      </c>
      <c r="Y179" s="275" t="s">
        <v>34</v>
      </c>
      <c r="Z179" s="275" t="s">
        <v>36</v>
      </c>
      <c r="AA179" s="275" t="s">
        <v>40</v>
      </c>
      <c r="AB179" s="275" t="s">
        <v>41</v>
      </c>
      <c r="AD179" s="253" t="s">
        <v>38</v>
      </c>
      <c r="AE179" s="253" t="s">
        <v>35</v>
      </c>
      <c r="AF179" s="253" t="s">
        <v>39</v>
      </c>
      <c r="AG179" s="275" t="s">
        <v>34</v>
      </c>
      <c r="AH179" s="275" t="s">
        <v>36</v>
      </c>
      <c r="AI179" s="275" t="s">
        <v>40</v>
      </c>
      <c r="AJ179" s="275" t="s">
        <v>41</v>
      </c>
      <c r="AL179" s="253" t="s">
        <v>38</v>
      </c>
      <c r="AM179" s="276" t="s">
        <v>35</v>
      </c>
      <c r="AN179" s="276" t="s">
        <v>39</v>
      </c>
      <c r="AO179" s="275" t="s">
        <v>34</v>
      </c>
      <c r="AP179" s="275" t="s">
        <v>36</v>
      </c>
      <c r="AQ179" s="275" t="s">
        <v>40</v>
      </c>
      <c r="AR179" s="275" t="s">
        <v>41</v>
      </c>
    </row>
    <row r="180" spans="1:44" ht="30" customHeight="1">
      <c r="A180" s="513"/>
      <c r="B180" s="557"/>
      <c r="C180" s="560"/>
      <c r="D180" s="567"/>
      <c r="E180" s="37" t="s">
        <v>104</v>
      </c>
      <c r="F180" s="39" t="s">
        <v>240</v>
      </c>
      <c r="G180" s="38" t="s">
        <v>748</v>
      </c>
      <c r="H180" s="59" t="s">
        <v>1523</v>
      </c>
      <c r="I180" s="38" t="s">
        <v>749</v>
      </c>
      <c r="J180" s="59" t="s">
        <v>1525</v>
      </c>
      <c r="K180" s="62" t="s">
        <v>750</v>
      </c>
      <c r="L180" s="59" t="s">
        <v>751</v>
      </c>
      <c r="M180" s="38" t="s">
        <v>752</v>
      </c>
      <c r="N180" s="77" t="s">
        <v>753</v>
      </c>
      <c r="O180" s="413"/>
      <c r="P180" s="425"/>
      <c r="Q180" s="420" t="s">
        <v>48</v>
      </c>
      <c r="R180" s="102"/>
      <c r="V180" s="283" t="s">
        <v>747</v>
      </c>
      <c r="W180" s="256">
        <f t="shared" ref="W180:AB180" si="162">COUNTIF($E179:$N179,W179)</f>
        <v>5</v>
      </c>
      <c r="X180" s="256">
        <f t="shared" si="162"/>
        <v>0</v>
      </c>
      <c r="Y180" s="256">
        <f t="shared" si="162"/>
        <v>5</v>
      </c>
      <c r="Z180" s="256">
        <f t="shared" si="162"/>
        <v>0</v>
      </c>
      <c r="AA180" s="256">
        <f t="shared" si="162"/>
        <v>0</v>
      </c>
      <c r="AB180" s="256">
        <f t="shared" si="162"/>
        <v>0</v>
      </c>
      <c r="AD180" s="283" t="s">
        <v>747</v>
      </c>
      <c r="AE180" s="256" t="e">
        <f ca="1">colorcount($E180:$N180,$S$3)+colorcount($E180:$N180,$S$4)+colorcount($E180:$N180,$S$5)+colorcount($E180:$N180,$S$6)+colorcount($E180:$N180,$S$7)+colorcount($E180:$N180,$S$9)+colorcount($E180:$N180,$S$10)+colorcount($E180:$N180,$S$11)+colorcount($E180:$N180,$S$12)</f>
        <v>#NAME?</v>
      </c>
      <c r="AF180" s="256" t="e">
        <f ca="1">colorcount($E180:$N180,$S$15)</f>
        <v>#NAME?</v>
      </c>
      <c r="AG180" s="256" t="e">
        <f ca="1">colorcount($E180:$N180,$S$17)+colorcount($E180:$N180,$S$18)+colorcount($E180:$N180,$S$19)+colorcount($E180:$N180,$S$20)+colorcount($E180:$N180,$S$21)</f>
        <v>#NAME?</v>
      </c>
      <c r="AH180" s="256" t="e">
        <f ca="1">colorcount($E180:$N180,$S$23)</f>
        <v>#NAME?</v>
      </c>
      <c r="AI180" s="256" t="e">
        <f ca="1">colorcount($E180:$N180,$S$26)</f>
        <v>#NAME?</v>
      </c>
      <c r="AJ180" s="256" t="e">
        <f ca="1">colorcount($E180:$N180,$S$28)</f>
        <v>#NAME?</v>
      </c>
      <c r="AL180" s="283" t="s">
        <v>747</v>
      </c>
      <c r="AM180" s="277" t="e">
        <f t="shared" ref="AM180:AR180" ca="1" si="163">IF(W180=AE180,"O","X")</f>
        <v>#NAME?</v>
      </c>
      <c r="AN180" s="277" t="e">
        <f t="shared" ca="1" si="163"/>
        <v>#NAME?</v>
      </c>
      <c r="AO180" s="277" t="e">
        <f t="shared" ca="1" si="163"/>
        <v>#NAME?</v>
      </c>
      <c r="AP180" s="277" t="e">
        <f t="shared" ca="1" si="163"/>
        <v>#NAME?</v>
      </c>
      <c r="AQ180" s="277" t="e">
        <f t="shared" ca="1" si="163"/>
        <v>#NAME?</v>
      </c>
      <c r="AR180" s="277" t="e">
        <f t="shared" ca="1" si="163"/>
        <v>#NAME?</v>
      </c>
    </row>
    <row r="181" spans="1:44" ht="14.1" customHeight="1">
      <c r="A181" s="513" t="s">
        <v>754</v>
      </c>
      <c r="B181" s="557" t="s">
        <v>755</v>
      </c>
      <c r="C181" s="560"/>
      <c r="D181" s="567"/>
      <c r="E181" s="366" t="s">
        <v>36</v>
      </c>
      <c r="F181" s="215" t="s">
        <v>39</v>
      </c>
      <c r="G181" s="215" t="s">
        <v>35</v>
      </c>
      <c r="H181" s="215" t="s">
        <v>34</v>
      </c>
      <c r="I181" s="215" t="s">
        <v>34</v>
      </c>
      <c r="J181" s="215" t="s">
        <v>35</v>
      </c>
      <c r="K181" s="215" t="s">
        <v>34</v>
      </c>
      <c r="L181" s="215" t="s">
        <v>34</v>
      </c>
      <c r="M181" s="215" t="s">
        <v>35</v>
      </c>
      <c r="N181" s="243" t="s">
        <v>36</v>
      </c>
      <c r="O181" s="352"/>
      <c r="P181" s="147"/>
      <c r="Q181" s="158"/>
      <c r="R181" s="102"/>
      <c r="V181" s="253" t="s">
        <v>38</v>
      </c>
      <c r="W181" s="253" t="s">
        <v>35</v>
      </c>
      <c r="X181" s="253" t="s">
        <v>39</v>
      </c>
      <c r="Y181" s="275" t="s">
        <v>34</v>
      </c>
      <c r="Z181" s="275" t="s">
        <v>36</v>
      </c>
      <c r="AA181" s="275" t="s">
        <v>40</v>
      </c>
      <c r="AB181" s="275" t="s">
        <v>41</v>
      </c>
      <c r="AC181" s="264"/>
      <c r="AD181" s="253" t="s">
        <v>38</v>
      </c>
      <c r="AE181" s="253" t="s">
        <v>35</v>
      </c>
      <c r="AF181" s="253" t="s">
        <v>39</v>
      </c>
      <c r="AG181" s="275" t="s">
        <v>34</v>
      </c>
      <c r="AH181" s="275" t="s">
        <v>36</v>
      </c>
      <c r="AI181" s="275" t="s">
        <v>40</v>
      </c>
      <c r="AJ181" s="275" t="s">
        <v>41</v>
      </c>
      <c r="AK181" s="264"/>
      <c r="AL181" s="253" t="s">
        <v>38</v>
      </c>
      <c r="AM181" s="276" t="s">
        <v>35</v>
      </c>
      <c r="AN181" s="276" t="s">
        <v>39</v>
      </c>
      <c r="AO181" s="275" t="s">
        <v>34</v>
      </c>
      <c r="AP181" s="275" t="s">
        <v>36</v>
      </c>
      <c r="AQ181" s="275" t="s">
        <v>40</v>
      </c>
      <c r="AR181" s="275" t="s">
        <v>41</v>
      </c>
    </row>
    <row r="182" spans="1:44" ht="30" customHeight="1">
      <c r="A182" s="513"/>
      <c r="B182" s="557"/>
      <c r="C182" s="560"/>
      <c r="D182" s="567"/>
      <c r="E182" s="372" t="s">
        <v>660</v>
      </c>
      <c r="F182" s="221" t="s">
        <v>58</v>
      </c>
      <c r="G182" s="38" t="s">
        <v>756</v>
      </c>
      <c r="H182" s="59" t="s">
        <v>757</v>
      </c>
      <c r="I182" s="59" t="s">
        <v>667</v>
      </c>
      <c r="J182" s="46" t="s">
        <v>1647</v>
      </c>
      <c r="K182" s="62" t="s">
        <v>758</v>
      </c>
      <c r="L182" s="58" t="s">
        <v>759</v>
      </c>
      <c r="M182" s="38" t="s">
        <v>760</v>
      </c>
      <c r="N182" s="239" t="s">
        <v>660</v>
      </c>
      <c r="O182" s="408"/>
      <c r="P182" s="425"/>
      <c r="Q182" s="420" t="s">
        <v>48</v>
      </c>
      <c r="R182" s="102"/>
      <c r="V182" s="294" t="s">
        <v>333</v>
      </c>
      <c r="W182" s="256">
        <f t="shared" ref="W182:AB182" si="164">COUNTIF($E181:$N181,W181)</f>
        <v>3</v>
      </c>
      <c r="X182" s="256">
        <f t="shared" si="164"/>
        <v>1</v>
      </c>
      <c r="Y182" s="256">
        <f t="shared" si="164"/>
        <v>4</v>
      </c>
      <c r="Z182" s="256">
        <f t="shared" si="164"/>
        <v>2</v>
      </c>
      <c r="AA182" s="256">
        <f t="shared" si="164"/>
        <v>0</v>
      </c>
      <c r="AB182" s="256">
        <f t="shared" si="164"/>
        <v>0</v>
      </c>
      <c r="AC182" s="264"/>
      <c r="AD182" s="294" t="s">
        <v>333</v>
      </c>
      <c r="AE182" s="256" t="e">
        <f ca="1">colorcount($E182:$N182,$S$3)+colorcount($E182:$N182,$S$4)+colorcount($E182:$N182,$S$5)+colorcount($E182:$N182,$S$6)+colorcount($E182:$N182,$S$7)+colorcount($E182:$N182,$S$9)+colorcount($E182:$N182,$S$10)+colorcount($E182:$N182,$S$11)+colorcount($E182:$N182,$S$12)</f>
        <v>#NAME?</v>
      </c>
      <c r="AF182" s="256" t="e">
        <f ca="1">colorcount($E182:$N182,$S$15)</f>
        <v>#NAME?</v>
      </c>
      <c r="AG182" s="256" t="e">
        <f ca="1">colorcount($E182:$N182,$S$17)+colorcount($E182:$N182,$S$18)+colorcount($E182:$N182,$S$19)+colorcount($E182:$N182,$S$20)+colorcount($E182:$N182,$S$21)</f>
        <v>#NAME?</v>
      </c>
      <c r="AH182" s="256" t="e">
        <f ca="1">colorcount($E182:$N182,$S$23)</f>
        <v>#NAME?</v>
      </c>
      <c r="AI182" s="256" t="e">
        <f ca="1">colorcount($E182:$N182,$S$26)</f>
        <v>#NAME?</v>
      </c>
      <c r="AJ182" s="256" t="e">
        <f ca="1">colorcount($E182:$N182,$S$28)</f>
        <v>#NAME?</v>
      </c>
      <c r="AK182" s="264"/>
      <c r="AL182" s="294" t="s">
        <v>333</v>
      </c>
      <c r="AM182" s="277" t="e">
        <f t="shared" ref="AM182:AR182" ca="1" si="165">IF(W182=AE182,"O","X")</f>
        <v>#NAME?</v>
      </c>
      <c r="AN182" s="277" t="e">
        <f t="shared" ca="1" si="165"/>
        <v>#NAME?</v>
      </c>
      <c r="AO182" s="277" t="e">
        <f t="shared" ca="1" si="165"/>
        <v>#NAME?</v>
      </c>
      <c r="AP182" s="277" t="e">
        <f t="shared" ca="1" si="165"/>
        <v>#NAME?</v>
      </c>
      <c r="AQ182" s="277" t="e">
        <f t="shared" ca="1" si="165"/>
        <v>#NAME?</v>
      </c>
      <c r="AR182" s="277" t="e">
        <f t="shared" ca="1" si="165"/>
        <v>#NAME?</v>
      </c>
    </row>
    <row r="183" spans="1:44" ht="14.1" customHeight="1">
      <c r="A183" s="541" t="s">
        <v>761</v>
      </c>
      <c r="B183" s="557" t="s">
        <v>762</v>
      </c>
      <c r="C183" s="560"/>
      <c r="D183" s="567"/>
      <c r="E183" s="363" t="s">
        <v>34</v>
      </c>
      <c r="F183" s="215" t="s">
        <v>35</v>
      </c>
      <c r="G183" s="215" t="s">
        <v>34</v>
      </c>
      <c r="H183" s="215" t="s">
        <v>34</v>
      </c>
      <c r="I183" s="215" t="s">
        <v>35</v>
      </c>
      <c r="J183" s="218" t="s">
        <v>36</v>
      </c>
      <c r="K183" s="215" t="s">
        <v>35</v>
      </c>
      <c r="L183" s="215" t="s">
        <v>39</v>
      </c>
      <c r="M183" s="218" t="s">
        <v>36</v>
      </c>
      <c r="N183" s="241" t="s">
        <v>35</v>
      </c>
      <c r="O183" s="352"/>
      <c r="P183" s="147"/>
      <c r="Q183" s="158"/>
      <c r="R183" s="102"/>
      <c r="V183" s="253" t="s">
        <v>38</v>
      </c>
      <c r="W183" s="253" t="s">
        <v>35</v>
      </c>
      <c r="X183" s="253" t="s">
        <v>39</v>
      </c>
      <c r="Y183" s="275" t="s">
        <v>34</v>
      </c>
      <c r="Z183" s="275" t="s">
        <v>36</v>
      </c>
      <c r="AA183" s="275" t="s">
        <v>40</v>
      </c>
      <c r="AB183" s="275" t="s">
        <v>41</v>
      </c>
      <c r="AC183" s="264"/>
      <c r="AD183" s="253" t="s">
        <v>38</v>
      </c>
      <c r="AE183" s="253" t="s">
        <v>35</v>
      </c>
      <c r="AF183" s="253" t="s">
        <v>39</v>
      </c>
      <c r="AG183" s="275" t="s">
        <v>34</v>
      </c>
      <c r="AH183" s="275" t="s">
        <v>36</v>
      </c>
      <c r="AI183" s="275" t="s">
        <v>40</v>
      </c>
      <c r="AJ183" s="275" t="s">
        <v>41</v>
      </c>
      <c r="AK183" s="264"/>
      <c r="AL183" s="253" t="s">
        <v>38</v>
      </c>
      <c r="AM183" s="276" t="s">
        <v>35</v>
      </c>
      <c r="AN183" s="276" t="s">
        <v>39</v>
      </c>
      <c r="AO183" s="275" t="s">
        <v>34</v>
      </c>
      <c r="AP183" s="275" t="s">
        <v>36</v>
      </c>
      <c r="AQ183" s="275" t="s">
        <v>40</v>
      </c>
      <c r="AR183" s="275" t="s">
        <v>41</v>
      </c>
    </row>
    <row r="184" spans="1:44" ht="30" customHeight="1">
      <c r="A184" s="541"/>
      <c r="B184" s="557"/>
      <c r="C184" s="560"/>
      <c r="D184" s="567"/>
      <c r="E184" s="63" t="s">
        <v>657</v>
      </c>
      <c r="F184" s="38" t="s">
        <v>763</v>
      </c>
      <c r="G184" s="59" t="s">
        <v>732</v>
      </c>
      <c r="H184" s="59" t="s">
        <v>1584</v>
      </c>
      <c r="I184" s="38" t="s">
        <v>764</v>
      </c>
      <c r="J184" s="287" t="s">
        <v>765</v>
      </c>
      <c r="K184" s="38" t="s">
        <v>372</v>
      </c>
      <c r="L184" s="221" t="s">
        <v>58</v>
      </c>
      <c r="M184" s="220" t="s">
        <v>660</v>
      </c>
      <c r="N184" s="77" t="s">
        <v>766</v>
      </c>
      <c r="O184" s="408"/>
      <c r="P184" s="425"/>
      <c r="Q184" s="420" t="s">
        <v>48</v>
      </c>
      <c r="R184" s="102"/>
      <c r="V184" s="274" t="s">
        <v>767</v>
      </c>
      <c r="W184" s="256">
        <f t="shared" ref="W184:AB184" si="166">COUNTIF($E183:$N183,W183)</f>
        <v>4</v>
      </c>
      <c r="X184" s="256">
        <f t="shared" si="166"/>
        <v>1</v>
      </c>
      <c r="Y184" s="256">
        <f t="shared" si="166"/>
        <v>3</v>
      </c>
      <c r="Z184" s="256">
        <f t="shared" si="166"/>
        <v>2</v>
      </c>
      <c r="AA184" s="256">
        <f t="shared" si="166"/>
        <v>0</v>
      </c>
      <c r="AB184" s="256">
        <f t="shared" si="166"/>
        <v>0</v>
      </c>
      <c r="AC184" s="264"/>
      <c r="AD184" s="274" t="s">
        <v>767</v>
      </c>
      <c r="AE184" s="256" t="e">
        <f ca="1">colorcount($E184:$N184,$S$3)+colorcount($E184:$N184,$S$4)+colorcount($E184:$N184,$S$5)+colorcount($E184:$N184,$S$6)+colorcount($E184:$N184,$S$7)+colorcount($E184:$N184,$S$9)+colorcount($E184:$N184,$S$10)+colorcount($E184:$N184,$S$11)+colorcount($E184:$N184,$S$12)</f>
        <v>#NAME?</v>
      </c>
      <c r="AF184" s="256" t="e">
        <f ca="1">colorcount($E184:$N184,$S$15)</f>
        <v>#NAME?</v>
      </c>
      <c r="AG184" s="256" t="e">
        <f ca="1">colorcount($E184:$N184,$S$17)+colorcount($E184:$N184,$S$18)+colorcount($E184:$N184,$S$19)+colorcount($E184:$N184,$S$20)+colorcount($E184:$N184,$S$21)</f>
        <v>#NAME?</v>
      </c>
      <c r="AH184" s="256" t="e">
        <f ca="1">colorcount($E184:$N184,$S$23)</f>
        <v>#NAME?</v>
      </c>
      <c r="AI184" s="256" t="e">
        <f ca="1">colorcount($E184:$N184,$S$26)</f>
        <v>#NAME?</v>
      </c>
      <c r="AJ184" s="256" t="e">
        <f ca="1">colorcount($E184:$N184,$S$28)</f>
        <v>#NAME?</v>
      </c>
      <c r="AK184" s="264"/>
      <c r="AL184" s="274" t="s">
        <v>767</v>
      </c>
      <c r="AM184" s="277" t="e">
        <f t="shared" ref="AM184:AR184" ca="1" si="167">IF(W184=AE184,"O","X")</f>
        <v>#NAME?</v>
      </c>
      <c r="AN184" s="277" t="e">
        <f t="shared" ca="1" si="167"/>
        <v>#NAME?</v>
      </c>
      <c r="AO184" s="277" t="e">
        <f t="shared" ca="1" si="167"/>
        <v>#NAME?</v>
      </c>
      <c r="AP184" s="277" t="e">
        <f t="shared" ca="1" si="167"/>
        <v>#NAME?</v>
      </c>
      <c r="AQ184" s="277" t="e">
        <f t="shared" ca="1" si="167"/>
        <v>#NAME?</v>
      </c>
      <c r="AR184" s="277" t="e">
        <f t="shared" ca="1" si="167"/>
        <v>#NAME?</v>
      </c>
    </row>
    <row r="185" spans="1:44" ht="30" customHeight="1">
      <c r="A185" s="286"/>
      <c r="B185" s="222" t="s">
        <v>768</v>
      </c>
      <c r="C185" s="213"/>
      <c r="D185" s="360"/>
      <c r="E185" s="364" t="s">
        <v>48</v>
      </c>
      <c r="F185" s="217" t="s">
        <v>48</v>
      </c>
      <c r="G185" s="217" t="s">
        <v>48</v>
      </c>
      <c r="H185" s="217" t="s">
        <v>48</v>
      </c>
      <c r="I185" s="217" t="s">
        <v>48</v>
      </c>
      <c r="J185" s="217" t="s">
        <v>48</v>
      </c>
      <c r="K185" s="217" t="s">
        <v>48</v>
      </c>
      <c r="L185" s="40" t="s">
        <v>769</v>
      </c>
      <c r="M185" s="40" t="s">
        <v>770</v>
      </c>
      <c r="N185" s="242" t="s">
        <v>48</v>
      </c>
      <c r="O185" s="408"/>
      <c r="P185" s="147"/>
      <c r="Q185" s="158"/>
      <c r="R185" s="102"/>
      <c r="V185" s="274"/>
      <c r="W185" s="256"/>
      <c r="X185" s="256"/>
      <c r="Y185" s="256"/>
      <c r="Z185" s="256"/>
      <c r="AA185" s="256"/>
      <c r="AB185" s="256"/>
      <c r="AC185" s="264"/>
      <c r="AD185" s="274"/>
      <c r="AE185" s="256"/>
      <c r="AF185" s="256"/>
      <c r="AG185" s="256"/>
      <c r="AH185" s="256"/>
      <c r="AI185" s="256"/>
      <c r="AJ185" s="256"/>
      <c r="AK185" s="264"/>
      <c r="AL185" s="274"/>
      <c r="AM185" s="277"/>
      <c r="AN185" s="277"/>
      <c r="AO185" s="277"/>
      <c r="AP185" s="277"/>
      <c r="AQ185" s="277"/>
      <c r="AR185" s="277"/>
    </row>
    <row r="186" spans="1:44" ht="14.1" customHeight="1">
      <c r="A186" s="541" t="s">
        <v>771</v>
      </c>
      <c r="B186" s="553" t="s">
        <v>772</v>
      </c>
      <c r="C186" s="560"/>
      <c r="D186" s="567"/>
      <c r="E186" s="363" t="s">
        <v>35</v>
      </c>
      <c r="F186" s="215" t="s">
        <v>35</v>
      </c>
      <c r="G186" s="215" t="s">
        <v>35</v>
      </c>
      <c r="H186" s="215" t="s">
        <v>35</v>
      </c>
      <c r="I186" s="215" t="s">
        <v>35</v>
      </c>
      <c r="J186" s="215" t="s">
        <v>35</v>
      </c>
      <c r="K186" s="215" t="s">
        <v>35</v>
      </c>
      <c r="L186" s="215" t="s">
        <v>35</v>
      </c>
      <c r="M186" s="215" t="s">
        <v>35</v>
      </c>
      <c r="N186" s="241" t="s">
        <v>35</v>
      </c>
      <c r="O186" s="352"/>
      <c r="P186" s="147"/>
      <c r="Q186" s="158"/>
      <c r="R186" s="102"/>
      <c r="V186" s="253" t="s">
        <v>38</v>
      </c>
      <c r="W186" s="253" t="s">
        <v>35</v>
      </c>
      <c r="X186" s="253" t="s">
        <v>39</v>
      </c>
      <c r="Y186" s="275" t="s">
        <v>34</v>
      </c>
      <c r="Z186" s="275" t="s">
        <v>36</v>
      </c>
      <c r="AA186" s="275" t="s">
        <v>40</v>
      </c>
      <c r="AB186" s="275" t="s">
        <v>41</v>
      </c>
      <c r="AC186" s="264"/>
      <c r="AD186" s="253" t="s">
        <v>38</v>
      </c>
      <c r="AE186" s="253" t="s">
        <v>35</v>
      </c>
      <c r="AF186" s="253" t="s">
        <v>39</v>
      </c>
      <c r="AG186" s="275" t="s">
        <v>34</v>
      </c>
      <c r="AH186" s="275" t="s">
        <v>36</v>
      </c>
      <c r="AI186" s="275" t="s">
        <v>40</v>
      </c>
      <c r="AJ186" s="275" t="s">
        <v>41</v>
      </c>
      <c r="AK186" s="264"/>
      <c r="AL186" s="253" t="s">
        <v>38</v>
      </c>
      <c r="AM186" s="276" t="s">
        <v>35</v>
      </c>
      <c r="AN186" s="276" t="s">
        <v>39</v>
      </c>
      <c r="AO186" s="275" t="s">
        <v>34</v>
      </c>
      <c r="AP186" s="275" t="s">
        <v>36</v>
      </c>
      <c r="AQ186" s="275" t="s">
        <v>40</v>
      </c>
      <c r="AR186" s="275" t="s">
        <v>41</v>
      </c>
    </row>
    <row r="187" spans="1:44" ht="30" customHeight="1">
      <c r="A187" s="541"/>
      <c r="B187" s="553"/>
      <c r="C187" s="560"/>
      <c r="D187" s="567"/>
      <c r="E187" s="68" t="s">
        <v>773</v>
      </c>
      <c r="F187" s="43" t="s">
        <v>774</v>
      </c>
      <c r="G187" s="452" t="s">
        <v>775</v>
      </c>
      <c r="H187" s="42" t="s">
        <v>776</v>
      </c>
      <c r="I187" s="42" t="s">
        <v>777</v>
      </c>
      <c r="J187" s="46" t="s">
        <v>1681</v>
      </c>
      <c r="K187" s="42" t="s">
        <v>778</v>
      </c>
      <c r="L187" s="42" t="s">
        <v>779</v>
      </c>
      <c r="M187" s="42" t="s">
        <v>780</v>
      </c>
      <c r="N187" s="80" t="s">
        <v>781</v>
      </c>
      <c r="O187" s="411"/>
      <c r="P187" s="425"/>
      <c r="Q187" s="420" t="s">
        <v>48</v>
      </c>
      <c r="R187" s="102"/>
      <c r="V187" s="274" t="s">
        <v>782</v>
      </c>
      <c r="W187" s="256">
        <f t="shared" ref="W187:AB187" si="168">COUNTIF($E186:$N186,W186)</f>
        <v>10</v>
      </c>
      <c r="X187" s="256">
        <f t="shared" si="168"/>
        <v>0</v>
      </c>
      <c r="Y187" s="256">
        <f t="shared" si="168"/>
        <v>0</v>
      </c>
      <c r="Z187" s="256">
        <f t="shared" si="168"/>
        <v>0</v>
      </c>
      <c r="AA187" s="256">
        <f t="shared" si="168"/>
        <v>0</v>
      </c>
      <c r="AB187" s="256">
        <f t="shared" si="168"/>
        <v>0</v>
      </c>
      <c r="AC187" s="264"/>
      <c r="AD187" s="274" t="s">
        <v>782</v>
      </c>
      <c r="AE187" s="256" t="e">
        <f ca="1">colorcount($E187:$N187,$S$3)+colorcount($E187:$N187,$S$4)+colorcount($E187:$N187,$S$5)+colorcount($E187:$N187,$S$6)+colorcount($E187:$N187,$S$7)+colorcount($E187:$N187,$S$9)+colorcount($E187:$N187,$S$10)+colorcount($E187:$N187,$S$11)+colorcount($E187:$N187,$S$12)</f>
        <v>#NAME?</v>
      </c>
      <c r="AF187" s="256" t="e">
        <f ca="1">colorcount($E187:$N187,$S$15)</f>
        <v>#NAME?</v>
      </c>
      <c r="AG187" s="256" t="e">
        <f ca="1">colorcount($E187:$N187,$S$17)+colorcount($E187:$N187,$S$18)+colorcount($E187:$N187,$S$19)+colorcount($E187:$N187,$S$20)+colorcount($E187:$N187,$S$21)</f>
        <v>#NAME?</v>
      </c>
      <c r="AH187" s="256" t="e">
        <f ca="1">colorcount($E187:$N187,$S$23)</f>
        <v>#NAME?</v>
      </c>
      <c r="AI187" s="256" t="e">
        <f ca="1">colorcount($E187:$N187,$S$26)</f>
        <v>#NAME?</v>
      </c>
      <c r="AJ187" s="256" t="e">
        <f ca="1">colorcount($E187:$N187,$S$28)</f>
        <v>#NAME?</v>
      </c>
      <c r="AK187" s="264"/>
      <c r="AL187" s="274" t="s">
        <v>782</v>
      </c>
      <c r="AM187" s="277" t="e">
        <f t="shared" ref="AM187:AR187" ca="1" si="169">IF(W187=AE187,"O","X")</f>
        <v>#NAME?</v>
      </c>
      <c r="AN187" s="277" t="e">
        <f t="shared" ca="1" si="169"/>
        <v>#NAME?</v>
      </c>
      <c r="AO187" s="277" t="e">
        <f t="shared" ca="1" si="169"/>
        <v>#NAME?</v>
      </c>
      <c r="AP187" s="277" t="e">
        <f t="shared" ca="1" si="169"/>
        <v>#NAME?</v>
      </c>
      <c r="AQ187" s="277" t="e">
        <f t="shared" ca="1" si="169"/>
        <v>#NAME?</v>
      </c>
      <c r="AR187" s="277" t="e">
        <f t="shared" ca="1" si="169"/>
        <v>#NAME?</v>
      </c>
    </row>
    <row r="188" spans="1:44" ht="14.1" customHeight="1">
      <c r="A188" s="513" t="s">
        <v>783</v>
      </c>
      <c r="B188" s="515" t="s">
        <v>784</v>
      </c>
      <c r="C188" s="560"/>
      <c r="D188" s="567"/>
      <c r="E188" s="363" t="s">
        <v>35</v>
      </c>
      <c r="F188" s="215" t="s">
        <v>35</v>
      </c>
      <c r="G188" s="215" t="s">
        <v>35</v>
      </c>
      <c r="H188" s="218" t="s">
        <v>36</v>
      </c>
      <c r="I188" s="218" t="s">
        <v>36</v>
      </c>
      <c r="J188" s="215" t="s">
        <v>35</v>
      </c>
      <c r="K188" s="215" t="s">
        <v>34</v>
      </c>
      <c r="L188" s="218" t="s">
        <v>36</v>
      </c>
      <c r="M188" s="215" t="s">
        <v>35</v>
      </c>
      <c r="N188" s="243" t="s">
        <v>36</v>
      </c>
      <c r="O188" s="352"/>
      <c r="P188" s="147"/>
      <c r="Q188" s="158"/>
      <c r="R188" s="102"/>
      <c r="V188" s="253" t="s">
        <v>38</v>
      </c>
      <c r="W188" s="253" t="s">
        <v>35</v>
      </c>
      <c r="X188" s="253" t="s">
        <v>39</v>
      </c>
      <c r="Y188" s="275" t="s">
        <v>34</v>
      </c>
      <c r="Z188" s="275" t="s">
        <v>36</v>
      </c>
      <c r="AA188" s="275" t="s">
        <v>40</v>
      </c>
      <c r="AB188" s="275" t="s">
        <v>41</v>
      </c>
      <c r="AC188" s="264"/>
      <c r="AD188" s="253" t="s">
        <v>38</v>
      </c>
      <c r="AE188" s="253" t="s">
        <v>35</v>
      </c>
      <c r="AF188" s="253" t="s">
        <v>39</v>
      </c>
      <c r="AG188" s="275" t="s">
        <v>34</v>
      </c>
      <c r="AH188" s="275" t="s">
        <v>36</v>
      </c>
      <c r="AI188" s="275" t="s">
        <v>40</v>
      </c>
      <c r="AJ188" s="275" t="s">
        <v>41</v>
      </c>
      <c r="AK188" s="264"/>
      <c r="AL188" s="253" t="s">
        <v>38</v>
      </c>
      <c r="AM188" s="276" t="s">
        <v>35</v>
      </c>
      <c r="AN188" s="276" t="s">
        <v>39</v>
      </c>
      <c r="AO188" s="275" t="s">
        <v>34</v>
      </c>
      <c r="AP188" s="275" t="s">
        <v>36</v>
      </c>
      <c r="AQ188" s="275" t="s">
        <v>40</v>
      </c>
      <c r="AR188" s="275" t="s">
        <v>41</v>
      </c>
    </row>
    <row r="189" spans="1:44" ht="30" customHeight="1">
      <c r="A189" s="513"/>
      <c r="B189" s="515"/>
      <c r="C189" s="560"/>
      <c r="D189" s="567"/>
      <c r="E189" s="368" t="s">
        <v>115</v>
      </c>
      <c r="F189" s="224" t="s">
        <v>115</v>
      </c>
      <c r="G189" s="224" t="s">
        <v>115</v>
      </c>
      <c r="H189" s="220" t="s">
        <v>660</v>
      </c>
      <c r="I189" s="220" t="s">
        <v>660</v>
      </c>
      <c r="J189" s="224" t="s">
        <v>115</v>
      </c>
      <c r="K189" s="62" t="s">
        <v>785</v>
      </c>
      <c r="L189" s="220" t="s">
        <v>660</v>
      </c>
      <c r="M189" s="224" t="s">
        <v>115</v>
      </c>
      <c r="N189" s="239" t="s">
        <v>660</v>
      </c>
      <c r="O189" s="408"/>
      <c r="P189" s="425"/>
      <c r="Q189" s="420" t="s">
        <v>48</v>
      </c>
      <c r="R189" s="102"/>
      <c r="V189" s="274" t="s">
        <v>784</v>
      </c>
      <c r="W189" s="256">
        <f t="shared" ref="W189:AB189" si="170">COUNTIF($E188:$N188,W188)</f>
        <v>5</v>
      </c>
      <c r="X189" s="256">
        <f t="shared" si="170"/>
        <v>0</v>
      </c>
      <c r="Y189" s="256">
        <f t="shared" si="170"/>
        <v>1</v>
      </c>
      <c r="Z189" s="256">
        <f t="shared" si="170"/>
        <v>4</v>
      </c>
      <c r="AA189" s="256">
        <f t="shared" si="170"/>
        <v>0</v>
      </c>
      <c r="AB189" s="256">
        <f t="shared" si="170"/>
        <v>0</v>
      </c>
      <c r="AC189" s="264"/>
      <c r="AD189" s="274" t="s">
        <v>784</v>
      </c>
      <c r="AE189" s="256" t="e">
        <f ca="1">colorcount($E189:$N189,$S$3)+colorcount($E189:$N189,$S$4)+colorcount($E189:$N189,$S$5)+colorcount($E189:$N189,$S$6)+colorcount($E189:$N189,$S$7)+colorcount($E189:$N189,$S$9)+colorcount($E189:$N189,$S$10)+colorcount($E189:$N189,$S$11)+colorcount($E189:$N189,$S$12)</f>
        <v>#NAME?</v>
      </c>
      <c r="AF189" s="256" t="e">
        <f ca="1">colorcount($E189:$N189,$S$15)</f>
        <v>#NAME?</v>
      </c>
      <c r="AG189" s="256" t="e">
        <f ca="1">colorcount($E189:$N189,$S$17)+colorcount($E189:$N189,$S$18)+colorcount($E189:$N189,$S$19)+colorcount($E189:$N189,$S$20)+colorcount($E189:$N189,$S$21)</f>
        <v>#NAME?</v>
      </c>
      <c r="AH189" s="256" t="e">
        <f ca="1">colorcount($E189:$N189,$S$23)</f>
        <v>#NAME?</v>
      </c>
      <c r="AI189" s="256" t="e">
        <f ca="1">colorcount($E189:$N189,$S$26)</f>
        <v>#NAME?</v>
      </c>
      <c r="AJ189" s="256" t="e">
        <f ca="1">colorcount($E189:$N189,$S$28)</f>
        <v>#NAME?</v>
      </c>
      <c r="AK189" s="264"/>
      <c r="AL189" s="274" t="s">
        <v>784</v>
      </c>
      <c r="AM189" s="277" t="e">
        <f t="shared" ref="AM189:AR189" ca="1" si="171">IF(W189=AE189,"O","X")</f>
        <v>#NAME?</v>
      </c>
      <c r="AN189" s="277" t="e">
        <f t="shared" ca="1" si="171"/>
        <v>#NAME?</v>
      </c>
      <c r="AO189" s="277" t="e">
        <f t="shared" ca="1" si="171"/>
        <v>#NAME?</v>
      </c>
      <c r="AP189" s="277" t="e">
        <f t="shared" ca="1" si="171"/>
        <v>#NAME?</v>
      </c>
      <c r="AQ189" s="277" t="e">
        <f t="shared" ca="1" si="171"/>
        <v>#NAME?</v>
      </c>
      <c r="AR189" s="277" t="e">
        <f t="shared" ca="1" si="171"/>
        <v>#NAME?</v>
      </c>
    </row>
    <row r="190" spans="1:44" ht="30" customHeight="1">
      <c r="A190" s="212"/>
      <c r="B190" s="216" t="s">
        <v>786</v>
      </c>
      <c r="C190" s="213"/>
      <c r="D190" s="360"/>
      <c r="E190" s="149" t="s">
        <v>787</v>
      </c>
      <c r="F190" s="46" t="s">
        <v>1685</v>
      </c>
      <c r="G190" s="46" t="s">
        <v>1683</v>
      </c>
      <c r="H190" s="42" t="s">
        <v>780</v>
      </c>
      <c r="I190" s="46" t="s">
        <v>1691</v>
      </c>
      <c r="J190" s="44" t="s">
        <v>790</v>
      </c>
      <c r="K190" s="217" t="s">
        <v>48</v>
      </c>
      <c r="L190" s="42" t="s">
        <v>791</v>
      </c>
      <c r="M190" s="46" t="s">
        <v>1760</v>
      </c>
      <c r="N190" s="80" t="s">
        <v>792</v>
      </c>
      <c r="O190" s="408"/>
      <c r="P190" s="147"/>
      <c r="Q190" s="158"/>
      <c r="R190" s="102"/>
      <c r="V190" s="274"/>
      <c r="W190" s="256"/>
      <c r="X190" s="256"/>
      <c r="Y190" s="256"/>
      <c r="Z190" s="256"/>
      <c r="AA190" s="256"/>
      <c r="AB190" s="256"/>
      <c r="AC190" s="264"/>
      <c r="AD190" s="274"/>
      <c r="AE190" s="256"/>
      <c r="AF190" s="256"/>
      <c r="AG190" s="256"/>
      <c r="AH190" s="256"/>
      <c r="AI190" s="256"/>
      <c r="AJ190" s="256"/>
      <c r="AK190" s="264"/>
      <c r="AL190" s="274"/>
      <c r="AM190" s="277"/>
      <c r="AN190" s="277"/>
      <c r="AO190" s="277"/>
      <c r="AP190" s="277"/>
      <c r="AQ190" s="277"/>
      <c r="AR190" s="277"/>
    </row>
    <row r="191" spans="1:44" ht="14.1" customHeight="1">
      <c r="A191" s="513" t="s">
        <v>793</v>
      </c>
      <c r="B191" s="557" t="s">
        <v>794</v>
      </c>
      <c r="C191" s="560"/>
      <c r="D191" s="567"/>
      <c r="E191" s="363" t="s">
        <v>35</v>
      </c>
      <c r="F191" s="215" t="s">
        <v>35</v>
      </c>
      <c r="G191" s="215" t="s">
        <v>34</v>
      </c>
      <c r="H191" s="215" t="s">
        <v>35</v>
      </c>
      <c r="I191" s="215" t="s">
        <v>35</v>
      </c>
      <c r="J191" s="215" t="s">
        <v>35</v>
      </c>
      <c r="K191" s="215" t="s">
        <v>34</v>
      </c>
      <c r="L191" s="215" t="s">
        <v>34</v>
      </c>
      <c r="M191" s="215" t="s">
        <v>35</v>
      </c>
      <c r="N191" s="241" t="s">
        <v>35</v>
      </c>
      <c r="O191" s="352"/>
      <c r="P191" s="147"/>
      <c r="Q191" s="158"/>
      <c r="R191" s="102"/>
      <c r="V191" s="253" t="s">
        <v>38</v>
      </c>
      <c r="W191" s="253" t="s">
        <v>35</v>
      </c>
      <c r="X191" s="253" t="s">
        <v>39</v>
      </c>
      <c r="Y191" s="275" t="s">
        <v>34</v>
      </c>
      <c r="Z191" s="275" t="s">
        <v>36</v>
      </c>
      <c r="AA191" s="275" t="s">
        <v>40</v>
      </c>
      <c r="AB191" s="275" t="s">
        <v>41</v>
      </c>
      <c r="AC191" s="264"/>
      <c r="AD191" s="253" t="s">
        <v>38</v>
      </c>
      <c r="AE191" s="253" t="s">
        <v>35</v>
      </c>
      <c r="AF191" s="253" t="s">
        <v>39</v>
      </c>
      <c r="AG191" s="275" t="s">
        <v>34</v>
      </c>
      <c r="AH191" s="275" t="s">
        <v>36</v>
      </c>
      <c r="AI191" s="275" t="s">
        <v>40</v>
      </c>
      <c r="AJ191" s="275" t="s">
        <v>41</v>
      </c>
      <c r="AK191" s="264"/>
      <c r="AL191" s="253" t="s">
        <v>38</v>
      </c>
      <c r="AM191" s="276" t="s">
        <v>35</v>
      </c>
      <c r="AN191" s="276" t="s">
        <v>39</v>
      </c>
      <c r="AO191" s="275" t="s">
        <v>34</v>
      </c>
      <c r="AP191" s="275" t="s">
        <v>36</v>
      </c>
      <c r="AQ191" s="275" t="s">
        <v>40</v>
      </c>
      <c r="AR191" s="275" t="s">
        <v>41</v>
      </c>
    </row>
    <row r="192" spans="1:44" ht="30" customHeight="1">
      <c r="A192" s="513"/>
      <c r="B192" s="557"/>
      <c r="C192" s="560"/>
      <c r="D192" s="567"/>
      <c r="E192" s="470" t="s">
        <v>1650</v>
      </c>
      <c r="F192" s="38" t="s">
        <v>795</v>
      </c>
      <c r="G192" s="62" t="s">
        <v>751</v>
      </c>
      <c r="H192" s="38" t="s">
        <v>796</v>
      </c>
      <c r="I192" s="38" t="s">
        <v>797</v>
      </c>
      <c r="J192" s="46" t="s">
        <v>1688</v>
      </c>
      <c r="K192" s="59" t="s">
        <v>716</v>
      </c>
      <c r="L192" s="59" t="s">
        <v>732</v>
      </c>
      <c r="M192" s="38" t="s">
        <v>798</v>
      </c>
      <c r="N192" s="290" t="s">
        <v>799</v>
      </c>
      <c r="O192" s="408"/>
      <c r="P192" s="425"/>
      <c r="Q192" s="420" t="s">
        <v>48</v>
      </c>
      <c r="R192" s="102"/>
      <c r="V192" s="274" t="s">
        <v>794</v>
      </c>
      <c r="W192" s="256">
        <f t="shared" ref="W192:AB192" si="172">COUNTIF($E191:$N191,W191)</f>
        <v>7</v>
      </c>
      <c r="X192" s="256">
        <f t="shared" si="172"/>
        <v>0</v>
      </c>
      <c r="Y192" s="256">
        <f t="shared" si="172"/>
        <v>3</v>
      </c>
      <c r="Z192" s="256">
        <f t="shared" si="172"/>
        <v>0</v>
      </c>
      <c r="AA192" s="256">
        <f t="shared" si="172"/>
        <v>0</v>
      </c>
      <c r="AB192" s="256">
        <f t="shared" si="172"/>
        <v>0</v>
      </c>
      <c r="AC192" s="264"/>
      <c r="AD192" s="274" t="s">
        <v>794</v>
      </c>
      <c r="AE192" s="256" t="e">
        <f ca="1">colorcount($E192:$N192,$S$3)+colorcount($E192:$N192,$S$4)+colorcount($E192:$N192,$S$5)+colorcount($E192:$N192,$S$6)+colorcount($E192:$N192,$S$7)+colorcount($E192:$N192,$S$9)+colorcount($E192:$N192,$S$10)+colorcount($E192:$N192,$S$11)+colorcount($E192:$N192,$S$12)</f>
        <v>#NAME?</v>
      </c>
      <c r="AF192" s="256" t="e">
        <f ca="1">colorcount($E192:$N192,$S$15)</f>
        <v>#NAME?</v>
      </c>
      <c r="AG192" s="256" t="e">
        <f ca="1">colorcount($E192:$N192,$S$17)+colorcount($E192:$N192,$S$18)+colorcount($E192:$N192,$S$19)+colorcount($E192:$N192,$S$20)+colorcount($E192:$N192,$S$21)</f>
        <v>#NAME?</v>
      </c>
      <c r="AH192" s="256" t="e">
        <f ca="1">colorcount($E192:$N192,$S$23)</f>
        <v>#NAME?</v>
      </c>
      <c r="AI192" s="256" t="e">
        <f ca="1">colorcount($E192:$N192,$S$26)</f>
        <v>#NAME?</v>
      </c>
      <c r="AJ192" s="256" t="e">
        <f ca="1">colorcount($E192:$N192,$S$28)</f>
        <v>#NAME?</v>
      </c>
      <c r="AK192" s="264"/>
      <c r="AL192" s="274" t="s">
        <v>794</v>
      </c>
      <c r="AM192" s="277" t="e">
        <f t="shared" ref="AM192:AR192" ca="1" si="173">IF(W192=AE192,"O","X")</f>
        <v>#NAME?</v>
      </c>
      <c r="AN192" s="277" t="e">
        <f t="shared" ca="1" si="173"/>
        <v>#NAME?</v>
      </c>
      <c r="AO192" s="277" t="e">
        <f t="shared" ca="1" si="173"/>
        <v>#NAME?</v>
      </c>
      <c r="AP192" s="277" t="e">
        <f t="shared" ca="1" si="173"/>
        <v>#NAME?</v>
      </c>
      <c r="AQ192" s="277" t="e">
        <f t="shared" ca="1" si="173"/>
        <v>#NAME?</v>
      </c>
      <c r="AR192" s="277" t="e">
        <f t="shared" ca="1" si="173"/>
        <v>#NAME?</v>
      </c>
    </row>
    <row r="193" spans="1:44" ht="12.95" customHeight="1">
      <c r="A193" s="513" t="s">
        <v>800</v>
      </c>
      <c r="B193" s="557" t="s">
        <v>801</v>
      </c>
      <c r="C193" s="560"/>
      <c r="D193" s="567"/>
      <c r="E193" s="363" t="s">
        <v>35</v>
      </c>
      <c r="F193" s="215" t="s">
        <v>34</v>
      </c>
      <c r="G193" s="218" t="s">
        <v>36</v>
      </c>
      <c r="H193" s="215" t="s">
        <v>35</v>
      </c>
      <c r="I193" s="215" t="s">
        <v>35</v>
      </c>
      <c r="J193" s="218" t="s">
        <v>36</v>
      </c>
      <c r="K193" s="215" t="s">
        <v>39</v>
      </c>
      <c r="L193" s="215" t="s">
        <v>39</v>
      </c>
      <c r="M193" s="218" t="s">
        <v>36</v>
      </c>
      <c r="N193" s="241" t="s">
        <v>35</v>
      </c>
      <c r="O193" s="413"/>
      <c r="P193" s="147"/>
      <c r="Q193" s="158"/>
      <c r="R193" s="102"/>
      <c r="V193" s="253" t="s">
        <v>38</v>
      </c>
      <c r="W193" s="253" t="s">
        <v>35</v>
      </c>
      <c r="X193" s="253" t="s">
        <v>39</v>
      </c>
      <c r="Y193" s="275" t="s">
        <v>34</v>
      </c>
      <c r="Z193" s="275" t="s">
        <v>36</v>
      </c>
      <c r="AA193" s="275" t="s">
        <v>40</v>
      </c>
      <c r="AB193" s="275" t="s">
        <v>41</v>
      </c>
      <c r="AD193" s="253" t="s">
        <v>38</v>
      </c>
      <c r="AE193" s="253" t="s">
        <v>35</v>
      </c>
      <c r="AF193" s="253" t="s">
        <v>39</v>
      </c>
      <c r="AG193" s="275" t="s">
        <v>34</v>
      </c>
      <c r="AH193" s="275" t="s">
        <v>36</v>
      </c>
      <c r="AI193" s="275" t="s">
        <v>40</v>
      </c>
      <c r="AJ193" s="275" t="s">
        <v>41</v>
      </c>
      <c r="AL193" s="253" t="s">
        <v>38</v>
      </c>
      <c r="AM193" s="276" t="s">
        <v>35</v>
      </c>
      <c r="AN193" s="276" t="s">
        <v>39</v>
      </c>
      <c r="AO193" s="275" t="s">
        <v>34</v>
      </c>
      <c r="AP193" s="275" t="s">
        <v>36</v>
      </c>
      <c r="AQ193" s="275" t="s">
        <v>40</v>
      </c>
      <c r="AR193" s="275" t="s">
        <v>41</v>
      </c>
    </row>
    <row r="194" spans="1:44" ht="30" customHeight="1">
      <c r="A194" s="513"/>
      <c r="B194" s="557"/>
      <c r="C194" s="560"/>
      <c r="D194" s="567"/>
      <c r="E194" s="461" t="s">
        <v>1472</v>
      </c>
      <c r="F194" s="58" t="s">
        <v>802</v>
      </c>
      <c r="G194" s="287" t="s">
        <v>765</v>
      </c>
      <c r="H194" s="40" t="s">
        <v>803</v>
      </c>
      <c r="I194" s="38" t="s">
        <v>804</v>
      </c>
      <c r="J194" s="220" t="s">
        <v>660</v>
      </c>
      <c r="K194" s="221" t="s">
        <v>58</v>
      </c>
      <c r="L194" s="221" t="s">
        <v>58</v>
      </c>
      <c r="M194" s="220" t="s">
        <v>660</v>
      </c>
      <c r="N194" s="86" t="s">
        <v>805</v>
      </c>
      <c r="O194" s="413"/>
      <c r="P194" s="425"/>
      <c r="Q194" s="420" t="s">
        <v>48</v>
      </c>
      <c r="R194" s="102"/>
      <c r="V194" s="274" t="s">
        <v>801</v>
      </c>
      <c r="W194" s="256">
        <f t="shared" ref="W194:AB194" si="174">COUNTIF($E193:$N193,W193)</f>
        <v>4</v>
      </c>
      <c r="X194" s="256">
        <f t="shared" si="174"/>
        <v>2</v>
      </c>
      <c r="Y194" s="256">
        <f t="shared" si="174"/>
        <v>1</v>
      </c>
      <c r="Z194" s="256">
        <f t="shared" si="174"/>
        <v>3</v>
      </c>
      <c r="AA194" s="256">
        <f t="shared" si="174"/>
        <v>0</v>
      </c>
      <c r="AB194" s="256">
        <f t="shared" si="174"/>
        <v>0</v>
      </c>
      <c r="AD194" s="274" t="s">
        <v>801</v>
      </c>
      <c r="AE194" s="256" t="e">
        <f ca="1">colorcount($E194:$N194,$S$3)+colorcount($E194:$N194,$S$4)+colorcount($E194:$N194,$S$5)+colorcount($E194:$N194,$S$6)+colorcount($E194:$N194,$S$7)+colorcount($E194:$N194,$S$9)+colorcount($E194:$N194,$S$10)+colorcount($E194:$N194,$S$11)+colorcount($E194:$N194,$S$12)</f>
        <v>#NAME?</v>
      </c>
      <c r="AF194" s="256" t="e">
        <f ca="1">colorcount($E194:$N194,$S$15)</f>
        <v>#NAME?</v>
      </c>
      <c r="AG194" s="256" t="e">
        <f ca="1">colorcount($E194:$N194,$S$17)+colorcount($E194:$N194,$S$18)+colorcount($E194:$N194,$S$19)+colorcount($E194:$N194,$S$20)+colorcount($E194:$N194,$S$21)</f>
        <v>#NAME?</v>
      </c>
      <c r="AH194" s="256" t="e">
        <f ca="1">colorcount($E194:$N194,$S$23)</f>
        <v>#NAME?</v>
      </c>
      <c r="AI194" s="256" t="e">
        <f ca="1">colorcount($E194:$N194,$S$26)</f>
        <v>#NAME?</v>
      </c>
      <c r="AJ194" s="256" t="e">
        <f ca="1">colorcount($E194:$N194,$S$28)</f>
        <v>#NAME?</v>
      </c>
      <c r="AL194" s="274" t="s">
        <v>801</v>
      </c>
      <c r="AM194" s="277" t="e">
        <f t="shared" ref="AM194:AR194" ca="1" si="175">IF(W194=AE194,"O","X")</f>
        <v>#NAME?</v>
      </c>
      <c r="AN194" s="277" t="e">
        <f t="shared" ca="1" si="175"/>
        <v>#NAME?</v>
      </c>
      <c r="AO194" s="277" t="e">
        <f t="shared" ca="1" si="175"/>
        <v>#NAME?</v>
      </c>
      <c r="AP194" s="277" t="e">
        <f t="shared" ca="1" si="175"/>
        <v>#NAME?</v>
      </c>
      <c r="AQ194" s="277" t="e">
        <f t="shared" ca="1" si="175"/>
        <v>#NAME?</v>
      </c>
      <c r="AR194" s="277" t="e">
        <f t="shared" ca="1" si="175"/>
        <v>#NAME?</v>
      </c>
    </row>
    <row r="195" spans="1:44" ht="30" customHeight="1">
      <c r="A195" s="212"/>
      <c r="B195" s="222" t="s">
        <v>806</v>
      </c>
      <c r="C195" s="213"/>
      <c r="D195" s="360"/>
      <c r="E195" s="364" t="s">
        <v>48</v>
      </c>
      <c r="F195" s="217" t="s">
        <v>48</v>
      </c>
      <c r="G195" s="217" t="s">
        <v>48</v>
      </c>
      <c r="H195" s="217" t="s">
        <v>48</v>
      </c>
      <c r="I195" s="217" t="s">
        <v>48</v>
      </c>
      <c r="J195" s="44" t="s">
        <v>807</v>
      </c>
      <c r="K195" s="38" t="s">
        <v>808</v>
      </c>
      <c r="L195" s="217" t="s">
        <v>48</v>
      </c>
      <c r="M195" s="217" t="s">
        <v>48</v>
      </c>
      <c r="N195" s="242" t="s">
        <v>48</v>
      </c>
      <c r="O195" s="413"/>
      <c r="P195" s="147"/>
      <c r="Q195" s="158"/>
      <c r="R195" s="102"/>
      <c r="V195" s="274"/>
      <c r="W195" s="256"/>
      <c r="X195" s="256"/>
      <c r="Y195" s="256"/>
      <c r="Z195" s="256"/>
      <c r="AA195" s="256"/>
      <c r="AB195" s="256"/>
      <c r="AD195" s="274"/>
      <c r="AE195" s="256"/>
      <c r="AF195" s="256"/>
      <c r="AG195" s="256"/>
      <c r="AH195" s="256"/>
      <c r="AI195" s="256"/>
      <c r="AJ195" s="256"/>
      <c r="AL195" s="274"/>
      <c r="AM195" s="277"/>
      <c r="AN195" s="277"/>
      <c r="AO195" s="277"/>
      <c r="AP195" s="277"/>
      <c r="AQ195" s="277"/>
      <c r="AR195" s="277"/>
    </row>
    <row r="196" spans="1:44" ht="14.1" customHeight="1">
      <c r="A196" s="513" t="s">
        <v>809</v>
      </c>
      <c r="B196" s="557" t="s">
        <v>810</v>
      </c>
      <c r="C196" s="560"/>
      <c r="D196" s="567"/>
      <c r="E196" s="363" t="s">
        <v>35</v>
      </c>
      <c r="F196" s="215" t="s">
        <v>34</v>
      </c>
      <c r="G196" s="215" t="s">
        <v>35</v>
      </c>
      <c r="H196" s="218" t="s">
        <v>36</v>
      </c>
      <c r="I196" s="215" t="s">
        <v>34</v>
      </c>
      <c r="J196" s="215" t="s">
        <v>34</v>
      </c>
      <c r="K196" s="215" t="s">
        <v>34</v>
      </c>
      <c r="L196" s="215" t="s">
        <v>34</v>
      </c>
      <c r="M196" s="218" t="s">
        <v>36</v>
      </c>
      <c r="N196" s="241" t="s">
        <v>35</v>
      </c>
      <c r="O196" s="352"/>
      <c r="P196" s="147"/>
      <c r="Q196" s="158"/>
      <c r="R196" s="102"/>
      <c r="V196" s="253" t="s">
        <v>38</v>
      </c>
      <c r="W196" s="253" t="s">
        <v>35</v>
      </c>
      <c r="X196" s="253" t="s">
        <v>39</v>
      </c>
      <c r="Y196" s="275" t="s">
        <v>34</v>
      </c>
      <c r="Z196" s="275" t="s">
        <v>36</v>
      </c>
      <c r="AA196" s="275" t="s">
        <v>40</v>
      </c>
      <c r="AB196" s="275" t="s">
        <v>41</v>
      </c>
      <c r="AC196" s="264"/>
      <c r="AD196" s="253" t="s">
        <v>38</v>
      </c>
      <c r="AE196" s="253" t="s">
        <v>35</v>
      </c>
      <c r="AF196" s="253" t="s">
        <v>39</v>
      </c>
      <c r="AG196" s="275" t="s">
        <v>34</v>
      </c>
      <c r="AH196" s="275" t="s">
        <v>36</v>
      </c>
      <c r="AI196" s="275" t="s">
        <v>40</v>
      </c>
      <c r="AJ196" s="275" t="s">
        <v>41</v>
      </c>
      <c r="AK196" s="264"/>
      <c r="AL196" s="253" t="s">
        <v>38</v>
      </c>
      <c r="AM196" s="276" t="s">
        <v>35</v>
      </c>
      <c r="AN196" s="276" t="s">
        <v>39</v>
      </c>
      <c r="AO196" s="275" t="s">
        <v>34</v>
      </c>
      <c r="AP196" s="275" t="s">
        <v>36</v>
      </c>
      <c r="AQ196" s="275" t="s">
        <v>40</v>
      </c>
      <c r="AR196" s="275" t="s">
        <v>41</v>
      </c>
    </row>
    <row r="197" spans="1:44" ht="30" customHeight="1">
      <c r="A197" s="513"/>
      <c r="B197" s="557"/>
      <c r="C197" s="560"/>
      <c r="D197" s="567"/>
      <c r="E197" s="45" t="s">
        <v>811</v>
      </c>
      <c r="F197" s="62" t="s">
        <v>669</v>
      </c>
      <c r="G197" s="38" t="s">
        <v>812</v>
      </c>
      <c r="H197" s="220" t="s">
        <v>660</v>
      </c>
      <c r="I197" s="58" t="s">
        <v>1500</v>
      </c>
      <c r="J197" s="58" t="s">
        <v>675</v>
      </c>
      <c r="K197" s="58" t="s">
        <v>715</v>
      </c>
      <c r="L197" s="62" t="s">
        <v>1527</v>
      </c>
      <c r="M197" s="220" t="s">
        <v>660</v>
      </c>
      <c r="N197" s="82" t="s">
        <v>1695</v>
      </c>
      <c r="O197" s="408"/>
      <c r="P197" s="425"/>
      <c r="Q197" s="420" t="s">
        <v>48</v>
      </c>
      <c r="R197" s="310"/>
      <c r="V197" s="283" t="s">
        <v>810</v>
      </c>
      <c r="W197" s="256">
        <f t="shared" ref="W197:AB197" si="176">COUNTIF($E196:$N196,W196)</f>
        <v>3</v>
      </c>
      <c r="X197" s="256">
        <f t="shared" si="176"/>
        <v>0</v>
      </c>
      <c r="Y197" s="256">
        <f t="shared" si="176"/>
        <v>5</v>
      </c>
      <c r="Z197" s="256">
        <f t="shared" si="176"/>
        <v>2</v>
      </c>
      <c r="AA197" s="256">
        <f t="shared" si="176"/>
        <v>0</v>
      </c>
      <c r="AB197" s="256">
        <f t="shared" si="176"/>
        <v>0</v>
      </c>
      <c r="AC197" s="264"/>
      <c r="AD197" s="283" t="s">
        <v>810</v>
      </c>
      <c r="AE197" s="256" t="e">
        <f ca="1">colorcount($E197:$N197,$S$3)+colorcount($E197:$N197,$S$4)+colorcount($E197:$N197,$S$5)+colorcount($E197:$N197,$S$6)+colorcount($E197:$N197,$S$7)+colorcount($E197:$N197,$S$9)+colorcount($E197:$N197,$S$10)+colorcount($E197:$N197,$S$11)+colorcount($E197:$N197,$S$12)</f>
        <v>#NAME?</v>
      </c>
      <c r="AF197" s="256" t="e">
        <f ca="1">colorcount($E197:$N197,$S$15)</f>
        <v>#NAME?</v>
      </c>
      <c r="AG197" s="256" t="e">
        <f ca="1">colorcount($E197:$N197,$S$17)+colorcount($E197:$N197,$S$18)+colorcount($E197:$N197,$S$19)+colorcount($E197:$N197,$S$20)+colorcount($E197:$N197,$S$21)</f>
        <v>#NAME?</v>
      </c>
      <c r="AH197" s="256" t="e">
        <f ca="1">colorcount($E197:$N197,$S$23)</f>
        <v>#NAME?</v>
      </c>
      <c r="AI197" s="256" t="e">
        <f ca="1">colorcount($E197:$N197,$S$26)</f>
        <v>#NAME?</v>
      </c>
      <c r="AJ197" s="256" t="e">
        <f ca="1">colorcount($E197:$N197,$S$28)</f>
        <v>#NAME?</v>
      </c>
      <c r="AK197" s="264"/>
      <c r="AL197" s="283" t="s">
        <v>810</v>
      </c>
      <c r="AM197" s="277" t="e">
        <f t="shared" ref="AM197:AR197" ca="1" si="177">IF(W197=AE197,"O","X")</f>
        <v>#NAME?</v>
      </c>
      <c r="AN197" s="277" t="e">
        <f t="shared" ca="1" si="177"/>
        <v>#NAME?</v>
      </c>
      <c r="AO197" s="277" t="e">
        <f t="shared" ca="1" si="177"/>
        <v>#NAME?</v>
      </c>
      <c r="AP197" s="277" t="e">
        <f t="shared" ca="1" si="177"/>
        <v>#NAME?</v>
      </c>
      <c r="AQ197" s="277" t="e">
        <f t="shared" ca="1" si="177"/>
        <v>#NAME?</v>
      </c>
      <c r="AR197" s="277" t="e">
        <f t="shared" ca="1" si="177"/>
        <v>#NAME?</v>
      </c>
    </row>
    <row r="198" spans="1:44" ht="14.1" customHeight="1">
      <c r="A198" s="513" t="s">
        <v>813</v>
      </c>
      <c r="B198" s="557" t="s">
        <v>814</v>
      </c>
      <c r="C198" s="560"/>
      <c r="D198" s="567"/>
      <c r="E198" s="363" t="s">
        <v>35</v>
      </c>
      <c r="F198" s="215" t="s">
        <v>34</v>
      </c>
      <c r="G198" s="215" t="s">
        <v>34</v>
      </c>
      <c r="H198" s="215" t="s">
        <v>34</v>
      </c>
      <c r="I198" s="215" t="s">
        <v>35</v>
      </c>
      <c r="J198" s="215" t="s">
        <v>34</v>
      </c>
      <c r="K198" s="215" t="s">
        <v>34</v>
      </c>
      <c r="L198" s="215" t="s">
        <v>34</v>
      </c>
      <c r="M198" s="215" t="s">
        <v>35</v>
      </c>
      <c r="N198" s="241" t="s">
        <v>35</v>
      </c>
      <c r="O198" s="408"/>
      <c r="P198" s="147"/>
      <c r="Q198" s="158"/>
      <c r="R198" s="102"/>
      <c r="V198" s="253" t="s">
        <v>38</v>
      </c>
      <c r="W198" s="253" t="s">
        <v>35</v>
      </c>
      <c r="X198" s="253" t="s">
        <v>39</v>
      </c>
      <c r="Y198" s="275" t="s">
        <v>34</v>
      </c>
      <c r="Z198" s="275" t="s">
        <v>36</v>
      </c>
      <c r="AA198" s="275" t="s">
        <v>40</v>
      </c>
      <c r="AB198" s="275" t="s">
        <v>41</v>
      </c>
      <c r="AC198" s="264"/>
      <c r="AD198" s="253" t="s">
        <v>38</v>
      </c>
      <c r="AE198" s="253" t="s">
        <v>35</v>
      </c>
      <c r="AF198" s="253" t="s">
        <v>39</v>
      </c>
      <c r="AG198" s="275" t="s">
        <v>34</v>
      </c>
      <c r="AH198" s="275" t="s">
        <v>36</v>
      </c>
      <c r="AI198" s="275" t="s">
        <v>40</v>
      </c>
      <c r="AJ198" s="275" t="s">
        <v>41</v>
      </c>
      <c r="AK198" s="264"/>
      <c r="AL198" s="253" t="s">
        <v>38</v>
      </c>
      <c r="AM198" s="276" t="s">
        <v>35</v>
      </c>
      <c r="AN198" s="276" t="s">
        <v>39</v>
      </c>
      <c r="AO198" s="275" t="s">
        <v>34</v>
      </c>
      <c r="AP198" s="275" t="s">
        <v>36</v>
      </c>
      <c r="AQ198" s="275" t="s">
        <v>40</v>
      </c>
      <c r="AR198" s="275" t="s">
        <v>41</v>
      </c>
    </row>
    <row r="199" spans="1:44" ht="30" customHeight="1">
      <c r="A199" s="513"/>
      <c r="B199" s="557"/>
      <c r="C199" s="560"/>
      <c r="D199" s="567"/>
      <c r="E199" s="37" t="s">
        <v>815</v>
      </c>
      <c r="F199" s="39" t="s">
        <v>1531</v>
      </c>
      <c r="G199" s="62" t="s">
        <v>816</v>
      </c>
      <c r="H199" s="59" t="s">
        <v>1097</v>
      </c>
      <c r="I199" s="40" t="s">
        <v>817</v>
      </c>
      <c r="J199" s="62" t="s">
        <v>818</v>
      </c>
      <c r="K199" s="59" t="s">
        <v>819</v>
      </c>
      <c r="L199" s="59" t="s">
        <v>1584</v>
      </c>
      <c r="M199" s="38" t="s">
        <v>820</v>
      </c>
      <c r="N199" s="86" t="s">
        <v>821</v>
      </c>
      <c r="O199" s="410"/>
      <c r="P199" s="425"/>
      <c r="Q199" s="420" t="s">
        <v>48</v>
      </c>
      <c r="R199" s="102"/>
      <c r="V199" s="283" t="s">
        <v>814</v>
      </c>
      <c r="W199" s="256">
        <f t="shared" ref="W199:AB199" si="178">COUNTIF($E198:$N198,W198)</f>
        <v>4</v>
      </c>
      <c r="X199" s="256">
        <f t="shared" si="178"/>
        <v>0</v>
      </c>
      <c r="Y199" s="256">
        <f t="shared" si="178"/>
        <v>6</v>
      </c>
      <c r="Z199" s="256">
        <f t="shared" si="178"/>
        <v>0</v>
      </c>
      <c r="AA199" s="256">
        <f t="shared" si="178"/>
        <v>0</v>
      </c>
      <c r="AB199" s="256">
        <f t="shared" si="178"/>
        <v>0</v>
      </c>
      <c r="AC199" s="264"/>
      <c r="AD199" s="283" t="s">
        <v>814</v>
      </c>
      <c r="AE199" s="256" t="e">
        <f ca="1">colorcount($E199:$N199,$S$3)+colorcount($E199:$N199,$S$4)+colorcount($E199:$N199,$S$5)+colorcount($E199:$N199,$S$6)+colorcount($E199:$N199,$S$7)+colorcount($E199:$N199,$S$9)+colorcount($E199:$N199,$S$10)+colorcount($E199:$N199,$S$11)+colorcount($E199:$N199,$S$12)</f>
        <v>#NAME?</v>
      </c>
      <c r="AF199" s="256" t="e">
        <f ca="1">colorcount($E199:$N199,$S$15)</f>
        <v>#NAME?</v>
      </c>
      <c r="AG199" s="256" t="e">
        <f ca="1">colorcount($E199:$N199,$S$17)+colorcount($E199:$N199,$S$18)+colorcount($E199:$N199,$S$19)+colorcount($E199:$N199,$S$20)+colorcount($E199:$N199,$S$21)</f>
        <v>#NAME?</v>
      </c>
      <c r="AH199" s="256" t="e">
        <f ca="1">colorcount($E199:$N199,$S$23)</f>
        <v>#NAME?</v>
      </c>
      <c r="AI199" s="256" t="e">
        <f ca="1">colorcount($E199:$N199,$S$26)</f>
        <v>#NAME?</v>
      </c>
      <c r="AJ199" s="256" t="e">
        <f ca="1">colorcount($E199:$N199,$S$28)</f>
        <v>#NAME?</v>
      </c>
      <c r="AL199" s="283" t="s">
        <v>814</v>
      </c>
      <c r="AM199" s="277" t="e">
        <f t="shared" ref="AM199:AR199" ca="1" si="179">IF(W199=AE199,"O","X")</f>
        <v>#NAME?</v>
      </c>
      <c r="AN199" s="277" t="e">
        <f t="shared" ca="1" si="179"/>
        <v>#NAME?</v>
      </c>
      <c r="AO199" s="277" t="e">
        <f t="shared" ca="1" si="179"/>
        <v>#NAME?</v>
      </c>
      <c r="AP199" s="277" t="e">
        <f t="shared" ca="1" si="179"/>
        <v>#NAME?</v>
      </c>
      <c r="AQ199" s="277" t="e">
        <f t="shared" ca="1" si="179"/>
        <v>#NAME?</v>
      </c>
      <c r="AR199" s="277" t="e">
        <f t="shared" ca="1" si="179"/>
        <v>#NAME?</v>
      </c>
    </row>
    <row r="200" spans="1:44" ht="14.1" customHeight="1">
      <c r="A200" s="513" t="s">
        <v>822</v>
      </c>
      <c r="B200" s="557" t="s">
        <v>823</v>
      </c>
      <c r="C200" s="560"/>
      <c r="D200" s="567"/>
      <c r="E200" s="363" t="s">
        <v>39</v>
      </c>
      <c r="F200" s="215" t="s">
        <v>39</v>
      </c>
      <c r="G200" s="215" t="s">
        <v>34</v>
      </c>
      <c r="H200" s="215" t="s">
        <v>34</v>
      </c>
      <c r="I200" s="215" t="s">
        <v>34</v>
      </c>
      <c r="J200" s="215" t="s">
        <v>34</v>
      </c>
      <c r="K200" s="215" t="s">
        <v>39</v>
      </c>
      <c r="L200" s="215" t="s">
        <v>35</v>
      </c>
      <c r="M200" s="215" t="s">
        <v>34</v>
      </c>
      <c r="N200" s="241" t="s">
        <v>34</v>
      </c>
      <c r="O200" s="352"/>
      <c r="P200" s="147"/>
      <c r="Q200" s="158"/>
      <c r="R200" s="102"/>
      <c r="V200" s="253" t="s">
        <v>38</v>
      </c>
      <c r="W200" s="253" t="s">
        <v>35</v>
      </c>
      <c r="X200" s="253" t="s">
        <v>39</v>
      </c>
      <c r="Y200" s="275" t="s">
        <v>34</v>
      </c>
      <c r="Z200" s="275" t="s">
        <v>36</v>
      </c>
      <c r="AA200" s="275" t="s">
        <v>40</v>
      </c>
      <c r="AB200" s="275" t="s">
        <v>41</v>
      </c>
      <c r="AC200" s="264"/>
      <c r="AD200" s="253" t="s">
        <v>38</v>
      </c>
      <c r="AE200" s="253" t="s">
        <v>35</v>
      </c>
      <c r="AF200" s="253" t="s">
        <v>39</v>
      </c>
      <c r="AG200" s="275" t="s">
        <v>34</v>
      </c>
      <c r="AH200" s="275" t="s">
        <v>36</v>
      </c>
      <c r="AI200" s="275" t="s">
        <v>40</v>
      </c>
      <c r="AJ200" s="275" t="s">
        <v>41</v>
      </c>
      <c r="AK200" s="264"/>
      <c r="AL200" s="253" t="s">
        <v>38</v>
      </c>
      <c r="AM200" s="276" t="s">
        <v>35</v>
      </c>
      <c r="AN200" s="276" t="s">
        <v>39</v>
      </c>
      <c r="AO200" s="275" t="s">
        <v>34</v>
      </c>
      <c r="AP200" s="275" t="s">
        <v>36</v>
      </c>
      <c r="AQ200" s="275" t="s">
        <v>40</v>
      </c>
      <c r="AR200" s="275" t="s">
        <v>41</v>
      </c>
    </row>
    <row r="201" spans="1:44" ht="30" customHeight="1">
      <c r="A201" s="513"/>
      <c r="B201" s="557"/>
      <c r="C201" s="560"/>
      <c r="D201" s="567"/>
      <c r="E201" s="369" t="s">
        <v>58</v>
      </c>
      <c r="F201" s="221" t="s">
        <v>58</v>
      </c>
      <c r="G201" s="62" t="s">
        <v>824</v>
      </c>
      <c r="H201" s="58" t="s">
        <v>802</v>
      </c>
      <c r="I201" s="65" t="s">
        <v>825</v>
      </c>
      <c r="J201" s="62" t="s">
        <v>751</v>
      </c>
      <c r="K201" s="221" t="s">
        <v>58</v>
      </c>
      <c r="L201" s="38" t="s">
        <v>826</v>
      </c>
      <c r="M201" s="65" t="s">
        <v>1304</v>
      </c>
      <c r="N201" s="298" t="s">
        <v>827</v>
      </c>
      <c r="O201" s="408"/>
      <c r="P201" s="425"/>
      <c r="Q201" s="420" t="s">
        <v>48</v>
      </c>
      <c r="R201" s="102"/>
      <c r="V201" s="283" t="s">
        <v>823</v>
      </c>
      <c r="W201" s="256">
        <f t="shared" ref="W201:AB201" si="180">COUNTIF($E200:$N200,W200)</f>
        <v>1</v>
      </c>
      <c r="X201" s="256">
        <f t="shared" si="180"/>
        <v>3</v>
      </c>
      <c r="Y201" s="256">
        <f t="shared" si="180"/>
        <v>6</v>
      </c>
      <c r="Z201" s="256">
        <f t="shared" si="180"/>
        <v>0</v>
      </c>
      <c r="AA201" s="256">
        <f t="shared" si="180"/>
        <v>0</v>
      </c>
      <c r="AB201" s="256">
        <f t="shared" si="180"/>
        <v>0</v>
      </c>
      <c r="AC201" s="264"/>
      <c r="AD201" s="283" t="s">
        <v>823</v>
      </c>
      <c r="AE201" s="256" t="e">
        <f ca="1">colorcount($E201:$N201,$S$3)+colorcount($E201:$N201,$S$4)+colorcount($E201:$N201,$S$5)+colorcount($E201:$N201,$S$6)+colorcount($E201:$N201,$S$7)+colorcount($E201:$N201,$S$9)+colorcount($E201:$N201,$S$10)+colorcount($E201:$N201,$S$11)+colorcount($E201:$N201,$S$12)</f>
        <v>#NAME?</v>
      </c>
      <c r="AF201" s="256" t="e">
        <f ca="1">colorcount($E201:$N201,$S$15)</f>
        <v>#NAME?</v>
      </c>
      <c r="AG201" s="256" t="e">
        <f ca="1">colorcount($E201:$N201,$S$17)+colorcount($E201:$N201,$S$18)+colorcount($E201:$N201,$S$19)+colorcount($E201:$N201,$S$20)+colorcount($E201:$N201,$S$21)</f>
        <v>#NAME?</v>
      </c>
      <c r="AH201" s="256" t="e">
        <f ca="1">colorcount($E201:$N201,$S$23)</f>
        <v>#NAME?</v>
      </c>
      <c r="AI201" s="256" t="e">
        <f ca="1">colorcount($E201:$N201,$S$26)</f>
        <v>#NAME?</v>
      </c>
      <c r="AJ201" s="256" t="e">
        <f ca="1">colorcount($E201:$N201,$S$28)</f>
        <v>#NAME?</v>
      </c>
      <c r="AK201" s="264"/>
      <c r="AL201" s="283" t="s">
        <v>823</v>
      </c>
      <c r="AM201" s="277" t="e">
        <f t="shared" ref="AM201:AR201" ca="1" si="181">IF(W201=AE201,"O","X")</f>
        <v>#NAME?</v>
      </c>
      <c r="AN201" s="277" t="e">
        <f t="shared" ca="1" si="181"/>
        <v>#NAME?</v>
      </c>
      <c r="AO201" s="277" t="e">
        <f t="shared" ca="1" si="181"/>
        <v>#NAME?</v>
      </c>
      <c r="AP201" s="277" t="e">
        <f t="shared" ca="1" si="181"/>
        <v>#NAME?</v>
      </c>
      <c r="AQ201" s="277" t="e">
        <f t="shared" ca="1" si="181"/>
        <v>#NAME?</v>
      </c>
      <c r="AR201" s="277" t="e">
        <f t="shared" ca="1" si="181"/>
        <v>#NAME?</v>
      </c>
    </row>
    <row r="202" spans="1:44" ht="14.1" customHeight="1">
      <c r="A202" s="513" t="s">
        <v>828</v>
      </c>
      <c r="B202" s="557" t="s">
        <v>163</v>
      </c>
      <c r="C202" s="560"/>
      <c r="D202" s="567"/>
      <c r="E202" s="363" t="s">
        <v>34</v>
      </c>
      <c r="F202" s="215" t="s">
        <v>34</v>
      </c>
      <c r="G202" s="215" t="s">
        <v>35</v>
      </c>
      <c r="H202" s="215" t="s">
        <v>35</v>
      </c>
      <c r="I202" s="215" t="s">
        <v>34</v>
      </c>
      <c r="J202" s="215" t="s">
        <v>35</v>
      </c>
      <c r="K202" s="215" t="s">
        <v>35</v>
      </c>
      <c r="L202" s="215" t="s">
        <v>34</v>
      </c>
      <c r="M202" s="215" t="s">
        <v>35</v>
      </c>
      <c r="N202" s="241" t="s">
        <v>35</v>
      </c>
      <c r="O202" s="352"/>
      <c r="P202" s="147"/>
      <c r="Q202" s="158"/>
      <c r="R202" s="102"/>
      <c r="V202" s="253" t="s">
        <v>38</v>
      </c>
      <c r="W202" s="253" t="s">
        <v>35</v>
      </c>
      <c r="X202" s="253" t="s">
        <v>39</v>
      </c>
      <c r="Y202" s="275" t="s">
        <v>34</v>
      </c>
      <c r="Z202" s="275" t="s">
        <v>36</v>
      </c>
      <c r="AA202" s="275" t="s">
        <v>40</v>
      </c>
      <c r="AB202" s="275" t="s">
        <v>41</v>
      </c>
      <c r="AC202" s="264"/>
      <c r="AD202" s="253" t="s">
        <v>38</v>
      </c>
      <c r="AE202" s="253" t="s">
        <v>35</v>
      </c>
      <c r="AF202" s="253" t="s">
        <v>39</v>
      </c>
      <c r="AG202" s="275" t="s">
        <v>34</v>
      </c>
      <c r="AH202" s="275" t="s">
        <v>36</v>
      </c>
      <c r="AI202" s="275" t="s">
        <v>40</v>
      </c>
      <c r="AJ202" s="275" t="s">
        <v>41</v>
      </c>
      <c r="AK202" s="264"/>
      <c r="AL202" s="253" t="s">
        <v>38</v>
      </c>
      <c r="AM202" s="276" t="s">
        <v>35</v>
      </c>
      <c r="AN202" s="276" t="s">
        <v>39</v>
      </c>
      <c r="AO202" s="275" t="s">
        <v>34</v>
      </c>
      <c r="AP202" s="275" t="s">
        <v>36</v>
      </c>
      <c r="AQ202" s="275" t="s">
        <v>40</v>
      </c>
      <c r="AR202" s="275" t="s">
        <v>41</v>
      </c>
    </row>
    <row r="203" spans="1:44" ht="30" customHeight="1">
      <c r="A203" s="513"/>
      <c r="B203" s="557"/>
      <c r="C203" s="560"/>
      <c r="D203" s="567"/>
      <c r="E203" s="63" t="s">
        <v>751</v>
      </c>
      <c r="F203" s="62" t="s">
        <v>730</v>
      </c>
      <c r="G203" s="40" t="s">
        <v>829</v>
      </c>
      <c r="H203" s="40" t="s">
        <v>830</v>
      </c>
      <c r="I203" s="59" t="s">
        <v>1097</v>
      </c>
      <c r="J203" s="38" t="s">
        <v>796</v>
      </c>
      <c r="K203" s="38" t="s">
        <v>831</v>
      </c>
      <c r="L203" s="59" t="s">
        <v>832</v>
      </c>
      <c r="M203" s="38" t="s">
        <v>310</v>
      </c>
      <c r="N203" s="299" t="s">
        <v>833</v>
      </c>
      <c r="O203" s="408"/>
      <c r="P203" s="425"/>
      <c r="Q203" s="420" t="s">
        <v>48</v>
      </c>
      <c r="R203" s="102"/>
      <c r="V203" s="283" t="s">
        <v>163</v>
      </c>
      <c r="W203" s="256">
        <f t="shared" ref="W203:AB203" si="182">COUNTIF($E202:$N202,W202)</f>
        <v>6</v>
      </c>
      <c r="X203" s="256">
        <f t="shared" si="182"/>
        <v>0</v>
      </c>
      <c r="Y203" s="256">
        <f t="shared" si="182"/>
        <v>4</v>
      </c>
      <c r="Z203" s="256">
        <f t="shared" si="182"/>
        <v>0</v>
      </c>
      <c r="AA203" s="256">
        <f t="shared" si="182"/>
        <v>0</v>
      </c>
      <c r="AB203" s="256">
        <f t="shared" si="182"/>
        <v>0</v>
      </c>
      <c r="AC203" s="264"/>
      <c r="AD203" s="283" t="s">
        <v>163</v>
      </c>
      <c r="AE203" s="256" t="e">
        <f ca="1">colorcount($E203:$N203,$S$3)+colorcount($E203:$N203,$S$4)+colorcount($E203:$N203,$S$5)+colorcount($E203:$N203,$S$6)+colorcount($E203:$N203,$S$7)+colorcount($E203:$N203,$S$9)+colorcount($E203:$N203,$S$10)+colorcount($E203:$N203,$S$11)+colorcount($E203:$N203,$S$12)</f>
        <v>#NAME?</v>
      </c>
      <c r="AF203" s="256" t="e">
        <f ca="1">colorcount($E203:$N203,$S$15)</f>
        <v>#NAME?</v>
      </c>
      <c r="AG203" s="256" t="e">
        <f ca="1">colorcount($E203:$N203,$S$17)+colorcount($E203:$N203,$S$18)+colorcount($E203:$N203,$S$19)+colorcount($E203:$N203,$S$20)+colorcount($E203:$N203,$S$21)</f>
        <v>#NAME?</v>
      </c>
      <c r="AH203" s="256" t="e">
        <f ca="1">colorcount($E203:$N203,$S$23)</f>
        <v>#NAME?</v>
      </c>
      <c r="AI203" s="256" t="e">
        <f ca="1">colorcount($E203:$N203,$S$26)</f>
        <v>#NAME?</v>
      </c>
      <c r="AJ203" s="256" t="e">
        <f ca="1">colorcount($E203:$N203,$S$28)</f>
        <v>#NAME?</v>
      </c>
      <c r="AK203" s="264"/>
      <c r="AL203" s="283" t="s">
        <v>163</v>
      </c>
      <c r="AM203" s="277" t="e">
        <f t="shared" ref="AM203:AR203" ca="1" si="183">IF(W203=AE203,"O","X")</f>
        <v>#NAME?</v>
      </c>
      <c r="AN203" s="277" t="e">
        <f t="shared" ca="1" si="183"/>
        <v>#NAME?</v>
      </c>
      <c r="AO203" s="277" t="e">
        <f t="shared" ca="1" si="183"/>
        <v>#NAME?</v>
      </c>
      <c r="AP203" s="277" t="e">
        <f t="shared" ca="1" si="183"/>
        <v>#NAME?</v>
      </c>
      <c r="AQ203" s="277" t="e">
        <f t="shared" ca="1" si="183"/>
        <v>#NAME?</v>
      </c>
      <c r="AR203" s="277" t="e">
        <f t="shared" ca="1" si="183"/>
        <v>#NAME?</v>
      </c>
    </row>
    <row r="204" spans="1:44" ht="14.1" customHeight="1">
      <c r="A204" s="513" t="s">
        <v>834</v>
      </c>
      <c r="B204" s="557" t="s">
        <v>835</v>
      </c>
      <c r="C204" s="560"/>
      <c r="D204" s="567"/>
      <c r="E204" s="363" t="s">
        <v>35</v>
      </c>
      <c r="F204" s="215" t="s">
        <v>34</v>
      </c>
      <c r="G204" s="215" t="s">
        <v>34</v>
      </c>
      <c r="H204" s="215" t="s">
        <v>35</v>
      </c>
      <c r="I204" s="215" t="s">
        <v>34</v>
      </c>
      <c r="J204" s="215" t="s">
        <v>35</v>
      </c>
      <c r="K204" s="215" t="s">
        <v>34</v>
      </c>
      <c r="L204" s="215" t="s">
        <v>35</v>
      </c>
      <c r="M204" s="215" t="s">
        <v>35</v>
      </c>
      <c r="N204" s="241" t="s">
        <v>35</v>
      </c>
      <c r="O204" s="352"/>
      <c r="P204" s="147"/>
      <c r="Q204" s="158"/>
      <c r="R204" s="102"/>
      <c r="V204" s="253" t="s">
        <v>38</v>
      </c>
      <c r="W204" s="253" t="s">
        <v>35</v>
      </c>
      <c r="X204" s="253" t="s">
        <v>39</v>
      </c>
      <c r="Y204" s="275" t="s">
        <v>34</v>
      </c>
      <c r="Z204" s="275" t="s">
        <v>36</v>
      </c>
      <c r="AA204" s="275" t="s">
        <v>40</v>
      </c>
      <c r="AB204" s="275" t="s">
        <v>41</v>
      </c>
      <c r="AC204" s="264"/>
      <c r="AD204" s="253" t="s">
        <v>38</v>
      </c>
      <c r="AE204" s="253" t="s">
        <v>35</v>
      </c>
      <c r="AF204" s="253" t="s">
        <v>39</v>
      </c>
      <c r="AG204" s="275" t="s">
        <v>34</v>
      </c>
      <c r="AH204" s="275" t="s">
        <v>36</v>
      </c>
      <c r="AI204" s="275" t="s">
        <v>40</v>
      </c>
      <c r="AJ204" s="275" t="s">
        <v>41</v>
      </c>
      <c r="AK204" s="264"/>
      <c r="AL204" s="253" t="s">
        <v>38</v>
      </c>
      <c r="AM204" s="276" t="s">
        <v>35</v>
      </c>
      <c r="AN204" s="276" t="s">
        <v>39</v>
      </c>
      <c r="AO204" s="275" t="s">
        <v>34</v>
      </c>
      <c r="AP204" s="275" t="s">
        <v>36</v>
      </c>
      <c r="AQ204" s="275" t="s">
        <v>40</v>
      </c>
      <c r="AR204" s="275" t="s">
        <v>41</v>
      </c>
    </row>
    <row r="205" spans="1:44" ht="30" customHeight="1">
      <c r="A205" s="513"/>
      <c r="B205" s="557"/>
      <c r="C205" s="560"/>
      <c r="D205" s="567"/>
      <c r="E205" s="458" t="s">
        <v>352</v>
      </c>
      <c r="F205" s="59" t="s">
        <v>836</v>
      </c>
      <c r="G205" s="58" t="s">
        <v>675</v>
      </c>
      <c r="H205" s="452" t="s">
        <v>1734</v>
      </c>
      <c r="I205" s="58" t="s">
        <v>398</v>
      </c>
      <c r="J205" s="38" t="s">
        <v>837</v>
      </c>
      <c r="K205" s="62" t="s">
        <v>703</v>
      </c>
      <c r="L205" s="38" t="s">
        <v>838</v>
      </c>
      <c r="M205" s="38" t="s">
        <v>839</v>
      </c>
      <c r="N205" s="77" t="s">
        <v>840</v>
      </c>
      <c r="O205" s="408"/>
      <c r="P205" s="425"/>
      <c r="Q205" s="420" t="s">
        <v>48</v>
      </c>
      <c r="R205" s="102"/>
      <c r="V205" s="283" t="s">
        <v>835</v>
      </c>
      <c r="W205" s="256">
        <f t="shared" ref="W205:AB205" si="184">COUNTIF($E204:$N204,W204)</f>
        <v>6</v>
      </c>
      <c r="X205" s="256">
        <f t="shared" si="184"/>
        <v>0</v>
      </c>
      <c r="Y205" s="256">
        <f t="shared" si="184"/>
        <v>4</v>
      </c>
      <c r="Z205" s="256">
        <f t="shared" si="184"/>
        <v>0</v>
      </c>
      <c r="AA205" s="256">
        <f t="shared" si="184"/>
        <v>0</v>
      </c>
      <c r="AB205" s="256">
        <f t="shared" si="184"/>
        <v>0</v>
      </c>
      <c r="AC205" s="264"/>
      <c r="AD205" s="283" t="s">
        <v>835</v>
      </c>
      <c r="AE205" s="256" t="e">
        <f ca="1">colorcount($E205:$N205,$S$3)+colorcount($E205:$N205,$S$4)+colorcount($E205:$N205,$S$5)+colorcount($E205:$N205,$S$6)+colorcount($E205:$N205,$S$7)+colorcount($E205:$N205,$S$9)+colorcount($E205:$N205,$S$10)+colorcount($E205:$N205,$S$11)+colorcount($E205:$N205,$S$12)</f>
        <v>#NAME?</v>
      </c>
      <c r="AF205" s="256" t="e">
        <f ca="1">colorcount($E205:$N205,$S$15)</f>
        <v>#NAME?</v>
      </c>
      <c r="AG205" s="256" t="e">
        <f ca="1">colorcount($E205:$N205,$S$17)+colorcount($E205:$N205,$S$18)+colorcount($E205:$N205,$S$19)+colorcount($E205:$N205,$S$20)+colorcount($E205:$N205,$S$21)</f>
        <v>#NAME?</v>
      </c>
      <c r="AH205" s="256" t="e">
        <f ca="1">colorcount($E205:$N205,$S$23)</f>
        <v>#NAME?</v>
      </c>
      <c r="AI205" s="256" t="e">
        <f ca="1">colorcount($E205:$N205,$S$26)</f>
        <v>#NAME?</v>
      </c>
      <c r="AJ205" s="256" t="e">
        <f ca="1">colorcount($E205:$N205,$S$28)</f>
        <v>#NAME?</v>
      </c>
      <c r="AK205" s="264"/>
      <c r="AL205" s="283" t="s">
        <v>835</v>
      </c>
      <c r="AM205" s="277" t="e">
        <f t="shared" ref="AM205:AR205" ca="1" si="185">IF(W205=AE205,"O","X")</f>
        <v>#NAME?</v>
      </c>
      <c r="AN205" s="277" t="e">
        <f t="shared" ca="1" si="185"/>
        <v>#NAME?</v>
      </c>
      <c r="AO205" s="277" t="e">
        <f t="shared" ca="1" si="185"/>
        <v>#NAME?</v>
      </c>
      <c r="AP205" s="277" t="e">
        <f t="shared" ca="1" si="185"/>
        <v>#NAME?</v>
      </c>
      <c r="AQ205" s="277" t="e">
        <f t="shared" ca="1" si="185"/>
        <v>#NAME?</v>
      </c>
      <c r="AR205" s="277" t="e">
        <f t="shared" ca="1" si="185"/>
        <v>#NAME?</v>
      </c>
    </row>
    <row r="206" spans="1:44" ht="14.1" customHeight="1">
      <c r="A206" s="513" t="s">
        <v>841</v>
      </c>
      <c r="B206" s="557" t="s">
        <v>47</v>
      </c>
      <c r="C206" s="560"/>
      <c r="D206" s="567"/>
      <c r="E206" s="363" t="s">
        <v>34</v>
      </c>
      <c r="F206" s="215" t="s">
        <v>34</v>
      </c>
      <c r="G206" s="215" t="s">
        <v>34</v>
      </c>
      <c r="H206" s="215" t="s">
        <v>34</v>
      </c>
      <c r="I206" s="215" t="s">
        <v>35</v>
      </c>
      <c r="J206" s="215" t="s">
        <v>34</v>
      </c>
      <c r="K206" s="215" t="s">
        <v>34</v>
      </c>
      <c r="L206" s="215" t="s">
        <v>34</v>
      </c>
      <c r="M206" s="215" t="s">
        <v>35</v>
      </c>
      <c r="N206" s="241" t="s">
        <v>35</v>
      </c>
      <c r="O206" s="352"/>
      <c r="P206" s="147"/>
      <c r="Q206" s="158"/>
      <c r="R206" s="102"/>
      <c r="V206" s="253" t="s">
        <v>38</v>
      </c>
      <c r="W206" s="253" t="s">
        <v>35</v>
      </c>
      <c r="X206" s="253" t="s">
        <v>39</v>
      </c>
      <c r="Y206" s="275" t="s">
        <v>34</v>
      </c>
      <c r="Z206" s="275" t="s">
        <v>36</v>
      </c>
      <c r="AA206" s="275" t="s">
        <v>40</v>
      </c>
      <c r="AB206" s="275" t="s">
        <v>41</v>
      </c>
      <c r="AC206" s="264"/>
      <c r="AD206" s="253" t="s">
        <v>38</v>
      </c>
      <c r="AE206" s="253" t="s">
        <v>35</v>
      </c>
      <c r="AF206" s="253" t="s">
        <v>39</v>
      </c>
      <c r="AG206" s="275" t="s">
        <v>34</v>
      </c>
      <c r="AH206" s="275" t="s">
        <v>36</v>
      </c>
      <c r="AI206" s="275" t="s">
        <v>40</v>
      </c>
      <c r="AJ206" s="275" t="s">
        <v>41</v>
      </c>
      <c r="AK206" s="264"/>
      <c r="AL206" s="253" t="s">
        <v>38</v>
      </c>
      <c r="AM206" s="276" t="s">
        <v>35</v>
      </c>
      <c r="AN206" s="276" t="s">
        <v>39</v>
      </c>
      <c r="AO206" s="275" t="s">
        <v>34</v>
      </c>
      <c r="AP206" s="275" t="s">
        <v>36</v>
      </c>
      <c r="AQ206" s="275" t="s">
        <v>40</v>
      </c>
      <c r="AR206" s="275" t="s">
        <v>41</v>
      </c>
    </row>
    <row r="207" spans="1:44" ht="30" customHeight="1">
      <c r="A207" s="513"/>
      <c r="B207" s="557"/>
      <c r="C207" s="560"/>
      <c r="D207" s="567"/>
      <c r="E207" s="63" t="s">
        <v>842</v>
      </c>
      <c r="F207" s="58" t="s">
        <v>843</v>
      </c>
      <c r="G207" s="62" t="s">
        <v>703</v>
      </c>
      <c r="H207" s="443" t="s">
        <v>1585</v>
      </c>
      <c r="I207" s="469" t="s">
        <v>1651</v>
      </c>
      <c r="J207" s="58" t="s">
        <v>844</v>
      </c>
      <c r="K207" s="62" t="s">
        <v>845</v>
      </c>
      <c r="L207" s="443" t="s">
        <v>1586</v>
      </c>
      <c r="M207" s="38" t="s">
        <v>846</v>
      </c>
      <c r="N207" s="77" t="s">
        <v>847</v>
      </c>
      <c r="O207" s="408"/>
      <c r="P207" s="425"/>
      <c r="Q207" s="420" t="s">
        <v>48</v>
      </c>
      <c r="R207" s="102"/>
      <c r="V207" s="283" t="s">
        <v>47</v>
      </c>
      <c r="W207" s="256">
        <f t="shared" ref="W207:AB207" si="186">COUNTIF($E206:$N206,W206)</f>
        <v>3</v>
      </c>
      <c r="X207" s="256">
        <f t="shared" si="186"/>
        <v>0</v>
      </c>
      <c r="Y207" s="256">
        <f t="shared" si="186"/>
        <v>7</v>
      </c>
      <c r="Z207" s="256">
        <f t="shared" si="186"/>
        <v>0</v>
      </c>
      <c r="AA207" s="256">
        <f t="shared" si="186"/>
        <v>0</v>
      </c>
      <c r="AB207" s="256">
        <f t="shared" si="186"/>
        <v>0</v>
      </c>
      <c r="AC207" s="264"/>
      <c r="AD207" s="283" t="s">
        <v>47</v>
      </c>
      <c r="AE207" s="256" t="e">
        <f ca="1">colorcount($E207:$N207,$S$3)+colorcount($E207:$N207,$S$4)+colorcount($E207:$N207,$S$5)+colorcount($E207:$N207,$S$6)+colorcount($E207:$N207,$S$7)+colorcount($E207:$N207,$S$9)+colorcount($E207:$N207,$S$10)+colorcount($E207:$N207,$S$11)+colorcount($E207:$N207,$S$12)</f>
        <v>#NAME?</v>
      </c>
      <c r="AF207" s="256" t="e">
        <f ca="1">colorcount($E207:$N207,$S$15)</f>
        <v>#NAME?</v>
      </c>
      <c r="AG207" s="256" t="e">
        <f ca="1">colorcount($E207:$N207,$S$17)+colorcount($E207:$N207,$S$18)+colorcount($E207:$N207,$S$19)+colorcount($E207:$N207,$S$20)+colorcount($E207:$N207,$S$21)</f>
        <v>#NAME?</v>
      </c>
      <c r="AH207" s="256" t="e">
        <f ca="1">colorcount($E207:$N207,$S$23)</f>
        <v>#NAME?</v>
      </c>
      <c r="AI207" s="256" t="e">
        <f ca="1">colorcount($E207:$N207,$S$26)</f>
        <v>#NAME?</v>
      </c>
      <c r="AJ207" s="256" t="e">
        <f ca="1">colorcount($E207:$N207,$S$28)</f>
        <v>#NAME?</v>
      </c>
      <c r="AK207" s="264"/>
      <c r="AL207" s="283" t="s">
        <v>47</v>
      </c>
      <c r="AM207" s="277" t="e">
        <f t="shared" ref="AM207:AR207" ca="1" si="187">IF(W207=AE207,"O","X")</f>
        <v>#NAME?</v>
      </c>
      <c r="AN207" s="277" t="e">
        <f t="shared" ca="1" si="187"/>
        <v>#NAME?</v>
      </c>
      <c r="AO207" s="277" t="e">
        <f t="shared" ca="1" si="187"/>
        <v>#NAME?</v>
      </c>
      <c r="AP207" s="277" t="e">
        <f t="shared" ca="1" si="187"/>
        <v>#NAME?</v>
      </c>
      <c r="AQ207" s="277" t="e">
        <f t="shared" ca="1" si="187"/>
        <v>#NAME?</v>
      </c>
      <c r="AR207" s="277" t="e">
        <f t="shared" ca="1" si="187"/>
        <v>#NAME?</v>
      </c>
    </row>
    <row r="208" spans="1:44" ht="14.1" customHeight="1">
      <c r="A208" s="513" t="s">
        <v>848</v>
      </c>
      <c r="B208" s="557" t="s">
        <v>849</v>
      </c>
      <c r="C208" s="560"/>
      <c r="D208" s="567"/>
      <c r="E208" s="363" t="s">
        <v>34</v>
      </c>
      <c r="F208" s="215" t="s">
        <v>34</v>
      </c>
      <c r="G208" s="215" t="s">
        <v>34</v>
      </c>
      <c r="H208" s="215" t="s">
        <v>34</v>
      </c>
      <c r="I208" s="215" t="s">
        <v>35</v>
      </c>
      <c r="J208" s="215" t="s">
        <v>34</v>
      </c>
      <c r="K208" s="218" t="s">
        <v>36</v>
      </c>
      <c r="L208" s="215" t="s">
        <v>34</v>
      </c>
      <c r="M208" s="215" t="s">
        <v>35</v>
      </c>
      <c r="N208" s="241" t="s">
        <v>35</v>
      </c>
      <c r="O208" s="352"/>
      <c r="P208" s="147"/>
      <c r="Q208" s="158"/>
      <c r="R208" s="102"/>
      <c r="V208" s="253" t="s">
        <v>38</v>
      </c>
      <c r="W208" s="253" t="s">
        <v>35</v>
      </c>
      <c r="X208" s="253" t="s">
        <v>39</v>
      </c>
      <c r="Y208" s="275" t="s">
        <v>34</v>
      </c>
      <c r="Z208" s="275" t="s">
        <v>36</v>
      </c>
      <c r="AA208" s="275" t="s">
        <v>40</v>
      </c>
      <c r="AB208" s="275" t="s">
        <v>41</v>
      </c>
      <c r="AC208" s="264"/>
      <c r="AD208" s="253" t="s">
        <v>38</v>
      </c>
      <c r="AE208" s="253" t="s">
        <v>35</v>
      </c>
      <c r="AF208" s="253" t="s">
        <v>39</v>
      </c>
      <c r="AG208" s="275" t="s">
        <v>34</v>
      </c>
      <c r="AH208" s="275" t="s">
        <v>36</v>
      </c>
      <c r="AI208" s="275" t="s">
        <v>40</v>
      </c>
      <c r="AJ208" s="275" t="s">
        <v>41</v>
      </c>
      <c r="AK208" s="264"/>
      <c r="AL208" s="253" t="s">
        <v>38</v>
      </c>
      <c r="AM208" s="276" t="s">
        <v>35</v>
      </c>
      <c r="AN208" s="276" t="s">
        <v>39</v>
      </c>
      <c r="AO208" s="275" t="s">
        <v>34</v>
      </c>
      <c r="AP208" s="275" t="s">
        <v>36</v>
      </c>
      <c r="AQ208" s="275" t="s">
        <v>40</v>
      </c>
      <c r="AR208" s="275" t="s">
        <v>41</v>
      </c>
    </row>
    <row r="209" spans="1:44" ht="30" customHeight="1">
      <c r="A209" s="513"/>
      <c r="B209" s="557"/>
      <c r="C209" s="560"/>
      <c r="D209" s="567"/>
      <c r="E209" s="63" t="s">
        <v>850</v>
      </c>
      <c r="F209" s="59" t="s">
        <v>851</v>
      </c>
      <c r="G209" s="62" t="s">
        <v>730</v>
      </c>
      <c r="H209" s="58" t="s">
        <v>655</v>
      </c>
      <c r="I209" s="38" t="s">
        <v>852</v>
      </c>
      <c r="J209" s="62" t="s">
        <v>1475</v>
      </c>
      <c r="K209" s="287" t="s">
        <v>765</v>
      </c>
      <c r="L209" s="62" t="s">
        <v>853</v>
      </c>
      <c r="M209" s="38" t="s">
        <v>854</v>
      </c>
      <c r="N209" s="77" t="s">
        <v>230</v>
      </c>
      <c r="O209" s="408"/>
      <c r="P209" s="425"/>
      <c r="Q209" s="420" t="s">
        <v>48</v>
      </c>
      <c r="R209" s="102"/>
      <c r="V209" s="283" t="s">
        <v>849</v>
      </c>
      <c r="W209" s="256">
        <f t="shared" ref="W209:AB209" si="188">COUNTIF($E208:$N208,W208)</f>
        <v>3</v>
      </c>
      <c r="X209" s="256">
        <f t="shared" si="188"/>
        <v>0</v>
      </c>
      <c r="Y209" s="256">
        <f t="shared" si="188"/>
        <v>6</v>
      </c>
      <c r="Z209" s="256">
        <f t="shared" si="188"/>
        <v>1</v>
      </c>
      <c r="AA209" s="256">
        <f t="shared" si="188"/>
        <v>0</v>
      </c>
      <c r="AB209" s="256">
        <f t="shared" si="188"/>
        <v>0</v>
      </c>
      <c r="AC209" s="264"/>
      <c r="AD209" s="283" t="s">
        <v>849</v>
      </c>
      <c r="AE209" s="256" t="e">
        <f ca="1">colorcount($E209:$N209,$S$3)+colorcount($E209:$N209,$S$4)+colorcount($E209:$N209,$S$5)+colorcount($E209:$N209,$S$6)+colorcount($E209:$N209,$S$7)+colorcount($E209:$N209,$S$9)+colorcount($E209:$N209,$S$10)+colorcount($E209:$N209,$S$11)+colorcount($E209:$N209,$S$12)</f>
        <v>#NAME?</v>
      </c>
      <c r="AF209" s="256" t="e">
        <f ca="1">colorcount($E209:$N209,$S$15)</f>
        <v>#NAME?</v>
      </c>
      <c r="AG209" s="256" t="e">
        <f ca="1">colorcount($E209:$N209,$S$17)+colorcount($E209:$N209,$S$18)+colorcount($E209:$N209,$S$19)+colorcount($E209:$N209,$S$20)+colorcount($E209:$N209,$S$21)</f>
        <v>#NAME?</v>
      </c>
      <c r="AH209" s="256" t="e">
        <f ca="1">colorcount($E209:$N209,$S$23)</f>
        <v>#NAME?</v>
      </c>
      <c r="AI209" s="256" t="e">
        <f ca="1">colorcount($E209:$N209,$S$26)</f>
        <v>#NAME?</v>
      </c>
      <c r="AJ209" s="256" t="e">
        <f ca="1">colorcount($E209:$N209,$S$28)</f>
        <v>#NAME?</v>
      </c>
      <c r="AK209" s="264"/>
      <c r="AL209" s="283" t="s">
        <v>849</v>
      </c>
      <c r="AM209" s="277" t="e">
        <f t="shared" ref="AM209:AR209" ca="1" si="189">IF(W209=AE209,"O","X")</f>
        <v>#NAME?</v>
      </c>
      <c r="AN209" s="277" t="e">
        <f t="shared" ca="1" si="189"/>
        <v>#NAME?</v>
      </c>
      <c r="AO209" s="277" t="e">
        <f t="shared" ca="1" si="189"/>
        <v>#NAME?</v>
      </c>
      <c r="AP209" s="277" t="e">
        <f t="shared" ca="1" si="189"/>
        <v>#NAME?</v>
      </c>
      <c r="AQ209" s="277" t="e">
        <f t="shared" ca="1" si="189"/>
        <v>#NAME?</v>
      </c>
      <c r="AR209" s="277" t="e">
        <f t="shared" ca="1" si="189"/>
        <v>#NAME?</v>
      </c>
    </row>
    <row r="210" spans="1:44" ht="15" customHeight="1">
      <c r="A210" s="513" t="s">
        <v>855</v>
      </c>
      <c r="B210" s="557" t="s">
        <v>856</v>
      </c>
      <c r="C210" s="560"/>
      <c r="D210" s="572"/>
      <c r="E210" s="363" t="s">
        <v>34</v>
      </c>
      <c r="F210" s="218" t="s">
        <v>36</v>
      </c>
      <c r="G210" s="215" t="s">
        <v>35</v>
      </c>
      <c r="H210" s="215" t="s">
        <v>34</v>
      </c>
      <c r="I210" s="215" t="s">
        <v>34</v>
      </c>
      <c r="J210" s="300" t="s">
        <v>39</v>
      </c>
      <c r="K210" s="215" t="s">
        <v>34</v>
      </c>
      <c r="L210" s="215" t="s">
        <v>34</v>
      </c>
      <c r="M210" s="230" t="s">
        <v>40</v>
      </c>
      <c r="N210" s="301" t="s">
        <v>36</v>
      </c>
      <c r="O210" s="413"/>
      <c r="P210" s="147"/>
      <c r="Q210" s="158"/>
      <c r="R210" s="102"/>
      <c r="V210" s="253" t="s">
        <v>38</v>
      </c>
      <c r="W210" s="253" t="s">
        <v>35</v>
      </c>
      <c r="X210" s="253" t="s">
        <v>39</v>
      </c>
      <c r="Y210" s="275" t="s">
        <v>34</v>
      </c>
      <c r="Z210" s="275" t="s">
        <v>36</v>
      </c>
      <c r="AA210" s="275" t="s">
        <v>40</v>
      </c>
      <c r="AB210" s="275" t="s">
        <v>41</v>
      </c>
      <c r="AD210" s="253" t="s">
        <v>38</v>
      </c>
      <c r="AE210" s="253" t="s">
        <v>35</v>
      </c>
      <c r="AF210" s="253" t="s">
        <v>39</v>
      </c>
      <c r="AG210" s="275" t="s">
        <v>34</v>
      </c>
      <c r="AH210" s="275" t="s">
        <v>36</v>
      </c>
      <c r="AI210" s="275" t="s">
        <v>40</v>
      </c>
      <c r="AJ210" s="275" t="s">
        <v>41</v>
      </c>
      <c r="AL210" s="253" t="s">
        <v>38</v>
      </c>
      <c r="AM210" s="276" t="s">
        <v>35</v>
      </c>
      <c r="AN210" s="276" t="s">
        <v>39</v>
      </c>
      <c r="AO210" s="275" t="s">
        <v>34</v>
      </c>
      <c r="AP210" s="275" t="s">
        <v>36</v>
      </c>
      <c r="AQ210" s="275" t="s">
        <v>40</v>
      </c>
      <c r="AR210" s="275" t="s">
        <v>41</v>
      </c>
    </row>
    <row r="211" spans="1:44" ht="30" customHeight="1">
      <c r="A211" s="513"/>
      <c r="B211" s="557"/>
      <c r="C211" s="560"/>
      <c r="D211" s="567"/>
      <c r="E211" s="61" t="s">
        <v>715</v>
      </c>
      <c r="F211" s="287" t="s">
        <v>765</v>
      </c>
      <c r="G211" s="38" t="s">
        <v>857</v>
      </c>
      <c r="H211" s="62" t="s">
        <v>703</v>
      </c>
      <c r="I211" s="62" t="s">
        <v>728</v>
      </c>
      <c r="J211" s="302" t="s">
        <v>59</v>
      </c>
      <c r="K211" s="62" t="s">
        <v>842</v>
      </c>
      <c r="L211" s="59" t="s">
        <v>1561</v>
      </c>
      <c r="M211" s="250" t="s">
        <v>248</v>
      </c>
      <c r="N211" s="239" t="s">
        <v>660</v>
      </c>
      <c r="O211" s="413"/>
      <c r="P211" s="425"/>
      <c r="Q211" s="420" t="s">
        <v>48</v>
      </c>
      <c r="R211" s="102"/>
      <c r="V211" s="283" t="s">
        <v>856</v>
      </c>
      <c r="W211" s="256">
        <f t="shared" ref="W211:AB211" si="190">COUNTIF($E210:$N210,W210)</f>
        <v>1</v>
      </c>
      <c r="X211" s="256">
        <f t="shared" si="190"/>
        <v>1</v>
      </c>
      <c r="Y211" s="256">
        <f t="shared" si="190"/>
        <v>5</v>
      </c>
      <c r="Z211" s="256">
        <f t="shared" si="190"/>
        <v>2</v>
      </c>
      <c r="AA211" s="256">
        <f t="shared" si="190"/>
        <v>1</v>
      </c>
      <c r="AB211" s="256">
        <f t="shared" si="190"/>
        <v>0</v>
      </c>
      <c r="AD211" s="283" t="s">
        <v>856</v>
      </c>
      <c r="AE211" s="256" t="e">
        <f ca="1">colorcount($E211:$N211,$S$3)+colorcount($E211:$N211,$S$4)+colorcount($E211:$N211,$S$5)+colorcount($E211:$N211,$S$6)+colorcount($E211:$N211,$S$7)+colorcount($E211:$N211,$S$9)+colorcount($E211:$N211,$S$10)+colorcount($E211:$N211,$S$11)+colorcount($E211:$N211,$S$12)</f>
        <v>#NAME?</v>
      </c>
      <c r="AF211" s="256" t="e">
        <f ca="1">colorcount($E211:$N211,$S$15)</f>
        <v>#NAME?</v>
      </c>
      <c r="AG211" s="256" t="e">
        <f ca="1">colorcount($E211:$N211,$S$17)+colorcount($E211:$N211,$S$18)+colorcount($E211:$N211,$S$19)+colorcount($E211:$N211,$S$20)+colorcount($E211:$N211,$S$21)</f>
        <v>#NAME?</v>
      </c>
      <c r="AH211" s="256" t="e">
        <f ca="1">colorcount($E211:$N211,$S$23)</f>
        <v>#NAME?</v>
      </c>
      <c r="AI211" s="256" t="e">
        <f ca="1">colorcount($E211:$N211,$S$26)</f>
        <v>#NAME?</v>
      </c>
      <c r="AJ211" s="256" t="e">
        <f ca="1">colorcount($E211:$N211,$S$28)</f>
        <v>#NAME?</v>
      </c>
      <c r="AL211" s="283" t="s">
        <v>856</v>
      </c>
      <c r="AM211" s="277" t="e">
        <f t="shared" ref="AM211:AR211" ca="1" si="191">IF(W211=AE211,"O","X")</f>
        <v>#NAME?</v>
      </c>
      <c r="AN211" s="277" t="e">
        <f t="shared" ca="1" si="191"/>
        <v>#NAME?</v>
      </c>
      <c r="AO211" s="277" t="e">
        <f t="shared" ca="1" si="191"/>
        <v>#NAME?</v>
      </c>
      <c r="AP211" s="277" t="e">
        <f t="shared" ca="1" si="191"/>
        <v>#NAME?</v>
      </c>
      <c r="AQ211" s="277" t="e">
        <f t="shared" ca="1" si="191"/>
        <v>#NAME?</v>
      </c>
      <c r="AR211" s="277" t="e">
        <f t="shared" ca="1" si="191"/>
        <v>#NAME?</v>
      </c>
    </row>
    <row r="212" spans="1:44" ht="14.1" customHeight="1">
      <c r="A212" s="513" t="s">
        <v>858</v>
      </c>
      <c r="B212" s="557" t="s">
        <v>859</v>
      </c>
      <c r="C212" s="560"/>
      <c r="D212" s="567"/>
      <c r="E212" s="363" t="s">
        <v>35</v>
      </c>
      <c r="F212" s="215" t="s">
        <v>35</v>
      </c>
      <c r="G212" s="215" t="s">
        <v>35</v>
      </c>
      <c r="H212" s="215" t="s">
        <v>34</v>
      </c>
      <c r="I212" s="218" t="s">
        <v>36</v>
      </c>
      <c r="J212" s="215" t="s">
        <v>35</v>
      </c>
      <c r="K212" s="215" t="s">
        <v>34</v>
      </c>
      <c r="L212" s="215" t="s">
        <v>34</v>
      </c>
      <c r="M212" s="498"/>
      <c r="N212" s="241" t="s">
        <v>35</v>
      </c>
      <c r="O212" s="413"/>
      <c r="P212" s="147"/>
      <c r="Q212" s="158"/>
      <c r="R212" s="102"/>
      <c r="V212" s="253" t="s">
        <v>38</v>
      </c>
      <c r="W212" s="253" t="s">
        <v>35</v>
      </c>
      <c r="X212" s="253" t="s">
        <v>39</v>
      </c>
      <c r="Y212" s="275" t="s">
        <v>34</v>
      </c>
      <c r="Z212" s="275" t="s">
        <v>36</v>
      </c>
      <c r="AA212" s="275" t="s">
        <v>40</v>
      </c>
      <c r="AB212" s="275" t="s">
        <v>41</v>
      </c>
      <c r="AC212" s="264"/>
      <c r="AD212" s="253" t="s">
        <v>38</v>
      </c>
      <c r="AE212" s="253" t="s">
        <v>35</v>
      </c>
      <c r="AF212" s="253" t="s">
        <v>39</v>
      </c>
      <c r="AG212" s="275" t="s">
        <v>34</v>
      </c>
      <c r="AH212" s="275" t="s">
        <v>36</v>
      </c>
      <c r="AI212" s="275" t="s">
        <v>40</v>
      </c>
      <c r="AJ212" s="275" t="s">
        <v>41</v>
      </c>
      <c r="AK212" s="264"/>
      <c r="AL212" s="253" t="s">
        <v>38</v>
      </c>
      <c r="AM212" s="276" t="s">
        <v>35</v>
      </c>
      <c r="AN212" s="276" t="s">
        <v>39</v>
      </c>
      <c r="AO212" s="275" t="s">
        <v>34</v>
      </c>
      <c r="AP212" s="275" t="s">
        <v>36</v>
      </c>
      <c r="AQ212" s="275" t="s">
        <v>40</v>
      </c>
      <c r="AR212" s="275" t="s">
        <v>41</v>
      </c>
    </row>
    <row r="213" spans="1:44" ht="30" customHeight="1">
      <c r="A213" s="513"/>
      <c r="B213" s="557"/>
      <c r="C213" s="560"/>
      <c r="D213" s="567"/>
      <c r="E213" s="45" t="s">
        <v>860</v>
      </c>
      <c r="F213" s="38" t="s">
        <v>861</v>
      </c>
      <c r="G213" s="38" t="s">
        <v>862</v>
      </c>
      <c r="H213" s="62" t="s">
        <v>1592</v>
      </c>
      <c r="I213" s="287" t="s">
        <v>765</v>
      </c>
      <c r="J213" s="38" t="s">
        <v>863</v>
      </c>
      <c r="K213" s="443" t="s">
        <v>1772</v>
      </c>
      <c r="L213" s="62" t="s">
        <v>728</v>
      </c>
      <c r="M213" s="131" t="s">
        <v>864</v>
      </c>
      <c r="N213" s="77" t="s">
        <v>865</v>
      </c>
      <c r="O213" s="408"/>
      <c r="P213" s="425"/>
      <c r="Q213" s="420" t="s">
        <v>48</v>
      </c>
      <c r="R213" s="102"/>
      <c r="V213" s="283" t="s">
        <v>859</v>
      </c>
      <c r="W213" s="256">
        <f t="shared" ref="W213:AB213" si="192">COUNTIF($E212:$N212,W212)</f>
        <v>5</v>
      </c>
      <c r="X213" s="256">
        <f t="shared" si="192"/>
        <v>0</v>
      </c>
      <c r="Y213" s="256">
        <f t="shared" si="192"/>
        <v>3</v>
      </c>
      <c r="Z213" s="256">
        <f t="shared" si="192"/>
        <v>1</v>
      </c>
      <c r="AA213" s="256">
        <f t="shared" si="192"/>
        <v>0</v>
      </c>
      <c r="AB213" s="256">
        <f t="shared" si="192"/>
        <v>0</v>
      </c>
      <c r="AC213" s="264"/>
      <c r="AD213" s="283" t="s">
        <v>859</v>
      </c>
      <c r="AE213" s="256" t="e">
        <f ca="1">colorcount($E213:$N213,$S$3)+colorcount($E213:$N213,$S$4)+colorcount($E213:$N213,$S$5)+colorcount($E213:$N213,$S$6)+colorcount($E213:$N213,$S$7)+colorcount($E213:$N213,$S$9)+colorcount($E213:$N213,$S$10)+colorcount($E213:$N213,$S$11)+colorcount($E213:$N213,$S$12)</f>
        <v>#NAME?</v>
      </c>
      <c r="AF213" s="256" t="e">
        <f ca="1">colorcount($E213:$N213,$S$15)</f>
        <v>#NAME?</v>
      </c>
      <c r="AG213" s="256" t="e">
        <f ca="1">colorcount($E213:$N213,$S$17)+colorcount($E213:$N213,$S$18)+colorcount($E213:$N213,$S$19)+colorcount($E213:$N213,$S$20)+colorcount($E213:$N213,$S$21)</f>
        <v>#NAME?</v>
      </c>
      <c r="AH213" s="256" t="e">
        <f ca="1">colorcount($E213:$N213,$S$23)</f>
        <v>#NAME?</v>
      </c>
      <c r="AI213" s="256" t="e">
        <f ca="1">colorcount($E213:$N213,$S$26)</f>
        <v>#NAME?</v>
      </c>
      <c r="AJ213" s="256" t="e">
        <f ca="1">colorcount($E213:$N213,$S$28)</f>
        <v>#NAME?</v>
      </c>
      <c r="AK213" s="264"/>
      <c r="AL213" s="283" t="s">
        <v>859</v>
      </c>
      <c r="AM213" s="277" t="e">
        <f t="shared" ref="AM213:AR213" ca="1" si="193">IF(W213=AE213,"O","X")</f>
        <v>#NAME?</v>
      </c>
      <c r="AN213" s="277" t="e">
        <f t="shared" ca="1" si="193"/>
        <v>#NAME?</v>
      </c>
      <c r="AO213" s="277" t="e">
        <f t="shared" ca="1" si="193"/>
        <v>#NAME?</v>
      </c>
      <c r="AP213" s="277" t="e">
        <f t="shared" ca="1" si="193"/>
        <v>#NAME?</v>
      </c>
      <c r="AQ213" s="277" t="e">
        <f t="shared" ca="1" si="193"/>
        <v>#NAME?</v>
      </c>
      <c r="AR213" s="277" t="e">
        <f t="shared" ca="1" si="193"/>
        <v>#NAME?</v>
      </c>
    </row>
    <row r="214" spans="1:44" ht="14.1" customHeight="1">
      <c r="A214" s="513" t="s">
        <v>866</v>
      </c>
      <c r="B214" s="557" t="s">
        <v>154</v>
      </c>
      <c r="C214" s="560"/>
      <c r="D214" s="567"/>
      <c r="E214" s="363" t="s">
        <v>34</v>
      </c>
      <c r="F214" s="215" t="s">
        <v>35</v>
      </c>
      <c r="G214" s="215" t="s">
        <v>34</v>
      </c>
      <c r="H214" s="215" t="s">
        <v>35</v>
      </c>
      <c r="I214" s="215" t="s">
        <v>34</v>
      </c>
      <c r="J214" s="215" t="s">
        <v>34</v>
      </c>
      <c r="K214" s="215" t="s">
        <v>34</v>
      </c>
      <c r="L214" s="215" t="s">
        <v>34</v>
      </c>
      <c r="M214" s="215" t="s">
        <v>35</v>
      </c>
      <c r="N214" s="241" t="s">
        <v>35</v>
      </c>
      <c r="O214" s="352"/>
      <c r="P214" s="147"/>
      <c r="Q214" s="158"/>
      <c r="R214" s="102"/>
      <c r="V214" s="253" t="s">
        <v>38</v>
      </c>
      <c r="W214" s="253" t="s">
        <v>35</v>
      </c>
      <c r="X214" s="253" t="s">
        <v>39</v>
      </c>
      <c r="Y214" s="275" t="s">
        <v>34</v>
      </c>
      <c r="Z214" s="275" t="s">
        <v>36</v>
      </c>
      <c r="AA214" s="275" t="s">
        <v>40</v>
      </c>
      <c r="AB214" s="275" t="s">
        <v>41</v>
      </c>
      <c r="AC214" s="264"/>
      <c r="AD214" s="253" t="s">
        <v>38</v>
      </c>
      <c r="AE214" s="253" t="s">
        <v>35</v>
      </c>
      <c r="AF214" s="253" t="s">
        <v>39</v>
      </c>
      <c r="AG214" s="275" t="s">
        <v>34</v>
      </c>
      <c r="AH214" s="275" t="s">
        <v>36</v>
      </c>
      <c r="AI214" s="275" t="s">
        <v>40</v>
      </c>
      <c r="AJ214" s="275" t="s">
        <v>41</v>
      </c>
      <c r="AK214" s="264"/>
      <c r="AL214" s="253" t="s">
        <v>38</v>
      </c>
      <c r="AM214" s="276" t="s">
        <v>35</v>
      </c>
      <c r="AN214" s="276" t="s">
        <v>39</v>
      </c>
      <c r="AO214" s="275" t="s">
        <v>34</v>
      </c>
      <c r="AP214" s="275" t="s">
        <v>36</v>
      </c>
      <c r="AQ214" s="275" t="s">
        <v>40</v>
      </c>
      <c r="AR214" s="275" t="s">
        <v>41</v>
      </c>
    </row>
    <row r="215" spans="1:44" ht="30" customHeight="1">
      <c r="A215" s="513"/>
      <c r="B215" s="557"/>
      <c r="C215" s="560"/>
      <c r="D215" s="567"/>
      <c r="E215" s="64" t="s">
        <v>867</v>
      </c>
      <c r="F215" s="452" t="s">
        <v>1428</v>
      </c>
      <c r="G215" s="58" t="s">
        <v>1524</v>
      </c>
      <c r="H215" s="38" t="s">
        <v>868</v>
      </c>
      <c r="I215" s="62" t="s">
        <v>669</v>
      </c>
      <c r="J215" s="443" t="s">
        <v>1586</v>
      </c>
      <c r="K215" s="59" t="s">
        <v>869</v>
      </c>
      <c r="L215" s="62" t="s">
        <v>870</v>
      </c>
      <c r="M215" s="38" t="s">
        <v>871</v>
      </c>
      <c r="N215" s="77" t="s">
        <v>872</v>
      </c>
      <c r="O215" s="408"/>
      <c r="P215" s="425"/>
      <c r="Q215" s="420" t="s">
        <v>48</v>
      </c>
      <c r="R215" s="102"/>
      <c r="V215" s="283" t="s">
        <v>154</v>
      </c>
      <c r="W215" s="256">
        <f t="shared" ref="W215:AB215" si="194">COUNTIF($E214:$N214,W214)</f>
        <v>4</v>
      </c>
      <c r="X215" s="256">
        <f t="shared" si="194"/>
        <v>0</v>
      </c>
      <c r="Y215" s="256">
        <f t="shared" si="194"/>
        <v>6</v>
      </c>
      <c r="Z215" s="256">
        <f t="shared" si="194"/>
        <v>0</v>
      </c>
      <c r="AA215" s="256">
        <f t="shared" si="194"/>
        <v>0</v>
      </c>
      <c r="AB215" s="256">
        <f t="shared" si="194"/>
        <v>0</v>
      </c>
      <c r="AC215" s="264"/>
      <c r="AD215" s="283" t="s">
        <v>154</v>
      </c>
      <c r="AE215" s="256" t="e">
        <f ca="1">colorcount($E215:$N215,$S$3)+colorcount($E215:$N215,$S$4)+colorcount($E215:$N215,$S$5)+colorcount($E215:$N215,$S$6)+colorcount($E215:$N215,$S$7)+colorcount($E215:$N215,$S$9)+colorcount($E215:$N215,$S$10)+colorcount($E215:$N215,$S$11)+colorcount($E215:$N215,$S$12)</f>
        <v>#NAME?</v>
      </c>
      <c r="AF215" s="256" t="e">
        <f ca="1">colorcount($E215:$N215,$S$15)</f>
        <v>#NAME?</v>
      </c>
      <c r="AG215" s="256" t="e">
        <f ca="1">colorcount($E215:$N215,$S$17)+colorcount($E215:$N215,$S$18)+colorcount($E215:$N215,$S$19)+colorcount($E215:$N215,$S$20)+colorcount($E215:$N215,$S$21)</f>
        <v>#NAME?</v>
      </c>
      <c r="AH215" s="256" t="e">
        <f ca="1">colorcount($E215:$N215,$S$23)</f>
        <v>#NAME?</v>
      </c>
      <c r="AI215" s="256" t="e">
        <f ca="1">colorcount($E215:$N215,$S$26)</f>
        <v>#NAME?</v>
      </c>
      <c r="AJ215" s="256" t="e">
        <f ca="1">colorcount($E215:$N215,$S$28)</f>
        <v>#NAME?</v>
      </c>
      <c r="AL215" s="283" t="s">
        <v>154</v>
      </c>
      <c r="AM215" s="277" t="e">
        <f t="shared" ref="AM215:AR215" ca="1" si="195">IF(W215=AE215,"O","X")</f>
        <v>#NAME?</v>
      </c>
      <c r="AN215" s="277" t="e">
        <f t="shared" ca="1" si="195"/>
        <v>#NAME?</v>
      </c>
      <c r="AO215" s="277" t="e">
        <f t="shared" ca="1" si="195"/>
        <v>#NAME?</v>
      </c>
      <c r="AP215" s="277" t="e">
        <f t="shared" ca="1" si="195"/>
        <v>#NAME?</v>
      </c>
      <c r="AQ215" s="277" t="e">
        <f t="shared" ca="1" si="195"/>
        <v>#NAME?</v>
      </c>
      <c r="AR215" s="277" t="e">
        <f t="shared" ca="1" si="195"/>
        <v>#NAME?</v>
      </c>
    </row>
    <row r="216" spans="1:44" ht="14.1" customHeight="1">
      <c r="A216" s="513" t="s">
        <v>873</v>
      </c>
      <c r="B216" s="557" t="s">
        <v>169</v>
      </c>
      <c r="C216" s="560"/>
      <c r="D216" s="567"/>
      <c r="E216" s="363" t="s">
        <v>34</v>
      </c>
      <c r="F216" s="215" t="s">
        <v>34</v>
      </c>
      <c r="G216" s="215" t="s">
        <v>34</v>
      </c>
      <c r="H216" s="215" t="s">
        <v>35</v>
      </c>
      <c r="I216" s="215" t="s">
        <v>35</v>
      </c>
      <c r="J216" s="215" t="s">
        <v>35</v>
      </c>
      <c r="K216" s="219" t="s">
        <v>35</v>
      </c>
      <c r="L216" s="215" t="s">
        <v>34</v>
      </c>
      <c r="M216" s="219" t="s">
        <v>35</v>
      </c>
      <c r="N216" s="241" t="s">
        <v>35</v>
      </c>
      <c r="O216" s="352"/>
      <c r="P216" s="147"/>
      <c r="Q216" s="158"/>
      <c r="R216" s="102"/>
      <c r="V216" s="253" t="s">
        <v>38</v>
      </c>
      <c r="W216" s="253" t="s">
        <v>35</v>
      </c>
      <c r="X216" s="253" t="s">
        <v>39</v>
      </c>
      <c r="Y216" s="275" t="s">
        <v>34</v>
      </c>
      <c r="Z216" s="275" t="s">
        <v>36</v>
      </c>
      <c r="AA216" s="275" t="s">
        <v>40</v>
      </c>
      <c r="AB216" s="275" t="s">
        <v>41</v>
      </c>
      <c r="AC216" s="264"/>
      <c r="AD216" s="253" t="s">
        <v>38</v>
      </c>
      <c r="AE216" s="253" t="s">
        <v>35</v>
      </c>
      <c r="AF216" s="253" t="s">
        <v>39</v>
      </c>
      <c r="AG216" s="275" t="s">
        <v>34</v>
      </c>
      <c r="AH216" s="275" t="s">
        <v>36</v>
      </c>
      <c r="AI216" s="275" t="s">
        <v>40</v>
      </c>
      <c r="AJ216" s="275" t="s">
        <v>41</v>
      </c>
      <c r="AK216" s="264"/>
      <c r="AL216" s="253" t="s">
        <v>38</v>
      </c>
      <c r="AM216" s="276" t="s">
        <v>35</v>
      </c>
      <c r="AN216" s="276" t="s">
        <v>39</v>
      </c>
      <c r="AO216" s="275" t="s">
        <v>34</v>
      </c>
      <c r="AP216" s="275" t="s">
        <v>36</v>
      </c>
      <c r="AQ216" s="275" t="s">
        <v>40</v>
      </c>
      <c r="AR216" s="275" t="s">
        <v>41</v>
      </c>
    </row>
    <row r="217" spans="1:44" ht="30" customHeight="1">
      <c r="A217" s="513"/>
      <c r="B217" s="557"/>
      <c r="C217" s="560"/>
      <c r="D217" s="567"/>
      <c r="E217" s="61" t="s">
        <v>874</v>
      </c>
      <c r="F217" s="58" t="s">
        <v>398</v>
      </c>
      <c r="G217" s="59" t="s">
        <v>875</v>
      </c>
      <c r="H217" s="38" t="s">
        <v>876</v>
      </c>
      <c r="I217" s="38" t="s">
        <v>877</v>
      </c>
      <c r="J217" s="44" t="s">
        <v>878</v>
      </c>
      <c r="K217" s="46" t="s">
        <v>1667</v>
      </c>
      <c r="L217" s="58" t="s">
        <v>880</v>
      </c>
      <c r="M217" s="46" t="s">
        <v>1699</v>
      </c>
      <c r="N217" s="455" t="s">
        <v>881</v>
      </c>
      <c r="O217" s="408"/>
      <c r="P217" s="425"/>
      <c r="Q217" s="420" t="s">
        <v>48</v>
      </c>
      <c r="R217" s="102"/>
      <c r="V217" s="283" t="s">
        <v>169</v>
      </c>
      <c r="W217" s="256">
        <f t="shared" ref="W217:AB217" si="196">COUNTIF($E216:$N216,W216)</f>
        <v>6</v>
      </c>
      <c r="X217" s="256">
        <f t="shared" si="196"/>
        <v>0</v>
      </c>
      <c r="Y217" s="256">
        <f t="shared" si="196"/>
        <v>4</v>
      </c>
      <c r="Z217" s="256">
        <f t="shared" si="196"/>
        <v>0</v>
      </c>
      <c r="AA217" s="256">
        <f t="shared" si="196"/>
        <v>0</v>
      </c>
      <c r="AB217" s="256">
        <f t="shared" si="196"/>
        <v>0</v>
      </c>
      <c r="AC217" s="264"/>
      <c r="AD217" s="283" t="s">
        <v>169</v>
      </c>
      <c r="AE217" s="256" t="e">
        <f ca="1">colorcount($E217:$N217,$S$3)+colorcount($E217:$N217,$S$4)+colorcount($E217:$N217,$S$5)+colorcount($E217:$N217,$S$6)+colorcount($E217:$N217,$S$7)+colorcount($E217:$N217,$S$9)+colorcount($E217:$N217,$S$10)+colorcount($E217:$N217,$S$11)+colorcount($E217:$N217,$S$12)</f>
        <v>#NAME?</v>
      </c>
      <c r="AF217" s="256" t="e">
        <f ca="1">colorcount($E217:$N217,$S$15)</f>
        <v>#NAME?</v>
      </c>
      <c r="AG217" s="256" t="e">
        <f ca="1">colorcount($E217:$N217,$S$17)+colorcount($E217:$N217,$S$18)+colorcount($E217:$N217,$S$19)+colorcount($E217:$N217,$S$20)+colorcount($E217:$N217,$S$21)</f>
        <v>#NAME?</v>
      </c>
      <c r="AH217" s="256" t="e">
        <f ca="1">colorcount($E217:$N217,$S$23)</f>
        <v>#NAME?</v>
      </c>
      <c r="AI217" s="256" t="e">
        <f ca="1">colorcount($E217:$N217,$S$26)</f>
        <v>#NAME?</v>
      </c>
      <c r="AJ217" s="256" t="e">
        <f ca="1">colorcount($E217:$N217,$S$28)</f>
        <v>#NAME?</v>
      </c>
      <c r="AK217" s="264"/>
      <c r="AL217" s="283" t="s">
        <v>169</v>
      </c>
      <c r="AM217" s="277" t="e">
        <f t="shared" ref="AM217:AR217" ca="1" si="197">IF(W217=AE217,"O","X")</f>
        <v>#NAME?</v>
      </c>
      <c r="AN217" s="277" t="e">
        <f t="shared" ca="1" si="197"/>
        <v>#NAME?</v>
      </c>
      <c r="AO217" s="277" t="e">
        <f t="shared" ca="1" si="197"/>
        <v>#NAME?</v>
      </c>
      <c r="AP217" s="277" t="e">
        <f t="shared" ca="1" si="197"/>
        <v>#NAME?</v>
      </c>
      <c r="AQ217" s="277" t="e">
        <f t="shared" ca="1" si="197"/>
        <v>#NAME?</v>
      </c>
      <c r="AR217" s="277" t="e">
        <f t="shared" ca="1" si="197"/>
        <v>#NAME?</v>
      </c>
    </row>
    <row r="218" spans="1:44" ht="14.1" customHeight="1">
      <c r="A218" s="513" t="s">
        <v>882</v>
      </c>
      <c r="B218" s="557" t="s">
        <v>883</v>
      </c>
      <c r="C218" s="560"/>
      <c r="D218" s="567"/>
      <c r="E218" s="363" t="s">
        <v>35</v>
      </c>
      <c r="F218" s="215" t="s">
        <v>35</v>
      </c>
      <c r="G218" s="215" t="s">
        <v>34</v>
      </c>
      <c r="H218" s="215" t="s">
        <v>34</v>
      </c>
      <c r="I218" s="215" t="s">
        <v>34</v>
      </c>
      <c r="J218" s="215" t="s">
        <v>35</v>
      </c>
      <c r="K218" s="215" t="s">
        <v>34</v>
      </c>
      <c r="L218" s="215" t="s">
        <v>35</v>
      </c>
      <c r="M218" s="215" t="s">
        <v>35</v>
      </c>
      <c r="N218" s="241" t="s">
        <v>35</v>
      </c>
      <c r="O218" s="352"/>
      <c r="P218" s="147"/>
      <c r="Q218" s="158"/>
      <c r="R218" s="102"/>
      <c r="V218" s="253" t="s">
        <v>38</v>
      </c>
      <c r="W218" s="253" t="s">
        <v>35</v>
      </c>
      <c r="X218" s="253" t="s">
        <v>39</v>
      </c>
      <c r="Y218" s="275" t="s">
        <v>34</v>
      </c>
      <c r="Z218" s="275" t="s">
        <v>36</v>
      </c>
      <c r="AA218" s="275" t="s">
        <v>40</v>
      </c>
      <c r="AB218" s="275" t="s">
        <v>41</v>
      </c>
      <c r="AC218" s="264"/>
      <c r="AD218" s="253" t="s">
        <v>38</v>
      </c>
      <c r="AE218" s="253" t="s">
        <v>35</v>
      </c>
      <c r="AF218" s="253" t="s">
        <v>39</v>
      </c>
      <c r="AG218" s="275" t="s">
        <v>34</v>
      </c>
      <c r="AH218" s="275" t="s">
        <v>36</v>
      </c>
      <c r="AI218" s="275" t="s">
        <v>40</v>
      </c>
      <c r="AJ218" s="275" t="s">
        <v>41</v>
      </c>
      <c r="AK218" s="264"/>
      <c r="AL218" s="253" t="s">
        <v>38</v>
      </c>
      <c r="AM218" s="276" t="s">
        <v>35</v>
      </c>
      <c r="AN218" s="276" t="s">
        <v>39</v>
      </c>
      <c r="AO218" s="275" t="s">
        <v>34</v>
      </c>
      <c r="AP218" s="275" t="s">
        <v>36</v>
      </c>
      <c r="AQ218" s="275" t="s">
        <v>40</v>
      </c>
      <c r="AR218" s="275" t="s">
        <v>41</v>
      </c>
    </row>
    <row r="219" spans="1:44" ht="30" customHeight="1">
      <c r="A219" s="513"/>
      <c r="B219" s="557"/>
      <c r="C219" s="560"/>
      <c r="D219" s="567"/>
      <c r="E219" s="37" t="s">
        <v>1580</v>
      </c>
      <c r="F219" s="38" t="s">
        <v>884</v>
      </c>
      <c r="G219" s="58" t="s">
        <v>900</v>
      </c>
      <c r="H219" s="58" t="s">
        <v>398</v>
      </c>
      <c r="I219" s="62" t="s">
        <v>885</v>
      </c>
      <c r="J219" s="452" t="s">
        <v>1428</v>
      </c>
      <c r="K219" s="443" t="s">
        <v>1585</v>
      </c>
      <c r="L219" s="452" t="s">
        <v>1583</v>
      </c>
      <c r="M219" s="38" t="s">
        <v>886</v>
      </c>
      <c r="N219" s="86" t="s">
        <v>887</v>
      </c>
      <c r="O219" s="408"/>
      <c r="P219" s="425"/>
      <c r="Q219" s="420" t="s">
        <v>48</v>
      </c>
      <c r="R219" s="102"/>
      <c r="V219" s="293" t="s">
        <v>883</v>
      </c>
      <c r="W219" s="256">
        <f t="shared" ref="W219:AB219" si="198">COUNTIF($E218:$N218,W218)</f>
        <v>6</v>
      </c>
      <c r="X219" s="256">
        <f t="shared" si="198"/>
        <v>0</v>
      </c>
      <c r="Y219" s="256">
        <f t="shared" si="198"/>
        <v>4</v>
      </c>
      <c r="Z219" s="256">
        <f t="shared" si="198"/>
        <v>0</v>
      </c>
      <c r="AA219" s="256">
        <f t="shared" si="198"/>
        <v>0</v>
      </c>
      <c r="AB219" s="256">
        <f t="shared" si="198"/>
        <v>0</v>
      </c>
      <c r="AC219" s="264"/>
      <c r="AD219" s="293" t="s">
        <v>883</v>
      </c>
      <c r="AE219" s="256" t="e">
        <f ca="1">colorcount($E219:$N219,$S$3)+colorcount($E219:$N219,$S$4)+colorcount($E219:$N219,$S$5)+colorcount($E219:$N219,$S$6)+colorcount($E219:$N219,$S$7)+colorcount($E219:$N219,$S$9)+colorcount($E219:$N219,$S$10)+colorcount($E219:$N219,$S$11)+colorcount($E219:$N219,$S$12)</f>
        <v>#NAME?</v>
      </c>
      <c r="AF219" s="256" t="e">
        <f ca="1">colorcount($E219:$N219,$S$15)</f>
        <v>#NAME?</v>
      </c>
      <c r="AG219" s="256" t="e">
        <f ca="1">colorcount($E219:$N219,$S$17)+colorcount($E219:$N219,$S$18)+colorcount($E219:$N219,$S$19)+colorcount($E219:$N219,$S$20)+colorcount($E219:$N219,$S$21)</f>
        <v>#NAME?</v>
      </c>
      <c r="AH219" s="256" t="e">
        <f ca="1">colorcount($E219:$N219,$S$23)</f>
        <v>#NAME?</v>
      </c>
      <c r="AI219" s="256" t="e">
        <f ca="1">colorcount($E219:$N219,$S$26)</f>
        <v>#NAME?</v>
      </c>
      <c r="AJ219" s="256" t="e">
        <f ca="1">colorcount($E219:$N219,$S$28)</f>
        <v>#NAME?</v>
      </c>
      <c r="AK219" s="264"/>
      <c r="AL219" s="293" t="s">
        <v>883</v>
      </c>
      <c r="AM219" s="277" t="e">
        <f t="shared" ref="AM219:AR219" ca="1" si="199">IF(W219=AE219,"O","X")</f>
        <v>#NAME?</v>
      </c>
      <c r="AN219" s="277" t="e">
        <f t="shared" ca="1" si="199"/>
        <v>#NAME?</v>
      </c>
      <c r="AO219" s="277" t="e">
        <f t="shared" ca="1" si="199"/>
        <v>#NAME?</v>
      </c>
      <c r="AP219" s="277" t="e">
        <f t="shared" ca="1" si="199"/>
        <v>#NAME?</v>
      </c>
      <c r="AQ219" s="277" t="e">
        <f t="shared" ca="1" si="199"/>
        <v>#NAME?</v>
      </c>
      <c r="AR219" s="277" t="e">
        <f t="shared" ca="1" si="199"/>
        <v>#NAME?</v>
      </c>
    </row>
    <row r="220" spans="1:44" ht="14.1" customHeight="1">
      <c r="A220" s="513" t="s">
        <v>888</v>
      </c>
      <c r="B220" s="557" t="s">
        <v>889</v>
      </c>
      <c r="C220" s="560"/>
      <c r="D220" s="567"/>
      <c r="E220" s="363" t="s">
        <v>35</v>
      </c>
      <c r="F220" s="215" t="s">
        <v>34</v>
      </c>
      <c r="G220" s="215" t="s">
        <v>39</v>
      </c>
      <c r="H220" s="215" t="s">
        <v>35</v>
      </c>
      <c r="I220" s="215" t="s">
        <v>34</v>
      </c>
      <c r="J220" s="215" t="s">
        <v>35</v>
      </c>
      <c r="K220" s="215" t="s">
        <v>35</v>
      </c>
      <c r="L220" s="215" t="s">
        <v>39</v>
      </c>
      <c r="M220" s="215" t="s">
        <v>34</v>
      </c>
      <c r="N220" s="241"/>
      <c r="O220" s="352"/>
      <c r="P220" s="147"/>
      <c r="Q220" s="158"/>
      <c r="R220" s="102"/>
      <c r="V220" s="253" t="s">
        <v>38</v>
      </c>
      <c r="W220" s="253" t="s">
        <v>35</v>
      </c>
      <c r="X220" s="253" t="s">
        <v>39</v>
      </c>
      <c r="Y220" s="275" t="s">
        <v>34</v>
      </c>
      <c r="Z220" s="275" t="s">
        <v>36</v>
      </c>
      <c r="AA220" s="275" t="s">
        <v>40</v>
      </c>
      <c r="AB220" s="275" t="s">
        <v>41</v>
      </c>
      <c r="AC220" s="264"/>
      <c r="AD220" s="253" t="s">
        <v>38</v>
      </c>
      <c r="AE220" s="253" t="s">
        <v>35</v>
      </c>
      <c r="AF220" s="253" t="s">
        <v>39</v>
      </c>
      <c r="AG220" s="275" t="s">
        <v>34</v>
      </c>
      <c r="AH220" s="275" t="s">
        <v>36</v>
      </c>
      <c r="AI220" s="275" t="s">
        <v>40</v>
      </c>
      <c r="AJ220" s="275" t="s">
        <v>41</v>
      </c>
      <c r="AK220" s="264"/>
      <c r="AL220" s="253" t="s">
        <v>38</v>
      </c>
      <c r="AM220" s="276" t="s">
        <v>35</v>
      </c>
      <c r="AN220" s="276" t="s">
        <v>39</v>
      </c>
      <c r="AO220" s="275" t="s">
        <v>34</v>
      </c>
      <c r="AP220" s="275" t="s">
        <v>36</v>
      </c>
      <c r="AQ220" s="275" t="s">
        <v>40</v>
      </c>
      <c r="AR220" s="275" t="s">
        <v>41</v>
      </c>
    </row>
    <row r="221" spans="1:44" ht="30" customHeight="1">
      <c r="A221" s="513"/>
      <c r="B221" s="557"/>
      <c r="C221" s="560"/>
      <c r="D221" s="567"/>
      <c r="E221" s="373" t="s">
        <v>301</v>
      </c>
      <c r="F221" s="58" t="s">
        <v>715</v>
      </c>
      <c r="G221" s="221" t="s">
        <v>58</v>
      </c>
      <c r="H221" s="38" t="s">
        <v>1540</v>
      </c>
      <c r="I221" s="62" t="s">
        <v>1501</v>
      </c>
      <c r="J221" s="38" t="s">
        <v>890</v>
      </c>
      <c r="K221" s="38" t="s">
        <v>891</v>
      </c>
      <c r="L221" s="221" t="s">
        <v>58</v>
      </c>
      <c r="M221" s="39" t="s">
        <v>1531</v>
      </c>
      <c r="N221" s="242" t="s">
        <v>48</v>
      </c>
      <c r="O221" s="408"/>
      <c r="P221" s="425"/>
      <c r="Q221" s="420" t="s">
        <v>48</v>
      </c>
      <c r="R221" s="102"/>
      <c r="V221" s="283" t="s">
        <v>889</v>
      </c>
      <c r="W221" s="256">
        <f t="shared" ref="W221:AB221" si="200">COUNTIF($E220:$N220,W220)</f>
        <v>4</v>
      </c>
      <c r="X221" s="256">
        <f t="shared" si="200"/>
        <v>2</v>
      </c>
      <c r="Y221" s="256">
        <f t="shared" si="200"/>
        <v>3</v>
      </c>
      <c r="Z221" s="256">
        <f t="shared" si="200"/>
        <v>0</v>
      </c>
      <c r="AA221" s="256">
        <f t="shared" si="200"/>
        <v>0</v>
      </c>
      <c r="AB221" s="256">
        <f t="shared" si="200"/>
        <v>0</v>
      </c>
      <c r="AC221" s="264"/>
      <c r="AD221" s="283" t="s">
        <v>889</v>
      </c>
      <c r="AE221" s="256" t="e">
        <f ca="1">colorcount($E221:$N221,$S$3)+colorcount($E221:$N221,$S$4)+colorcount($E221:$N221,$S$5)+colorcount($E221:$N221,$S$6)+colorcount($E221:$N221,$S$7)+colorcount($E221:$N221,$S$9)+colorcount($E221:$N221,$S$10)+colorcount($E221:$N221,$S$11)+colorcount($E221:$N221,$S$12)</f>
        <v>#NAME?</v>
      </c>
      <c r="AF221" s="256" t="e">
        <f ca="1">colorcount($E221:$N221,$S$15)</f>
        <v>#NAME?</v>
      </c>
      <c r="AG221" s="256" t="e">
        <f ca="1">colorcount($E221:$N221,$S$17)+colorcount($E221:$N221,$S$18)+colorcount($E221:$N221,$S$19)+colorcount($E221:$N221,$S$20)+colorcount($E221:$N221,$S$21)</f>
        <v>#NAME?</v>
      </c>
      <c r="AH221" s="256" t="e">
        <f ca="1">colorcount($E221:$N221,$S$23)</f>
        <v>#NAME?</v>
      </c>
      <c r="AI221" s="256" t="e">
        <f ca="1">colorcount($E221:$N221,$S$26)</f>
        <v>#NAME?</v>
      </c>
      <c r="AJ221" s="256" t="e">
        <f ca="1">colorcount($E221:$N221,$S$28)</f>
        <v>#NAME?</v>
      </c>
      <c r="AK221" s="264"/>
      <c r="AL221" s="283" t="s">
        <v>889</v>
      </c>
      <c r="AM221" s="277" t="e">
        <f t="shared" ref="AM221:AR221" ca="1" si="201">IF(W221=AE221,"O","X")</f>
        <v>#NAME?</v>
      </c>
      <c r="AN221" s="277" t="e">
        <f t="shared" ca="1" si="201"/>
        <v>#NAME?</v>
      </c>
      <c r="AO221" s="277" t="e">
        <f t="shared" ca="1" si="201"/>
        <v>#NAME?</v>
      </c>
      <c r="AP221" s="277" t="e">
        <f t="shared" ca="1" si="201"/>
        <v>#NAME?</v>
      </c>
      <c r="AQ221" s="277" t="e">
        <f t="shared" ca="1" si="201"/>
        <v>#NAME?</v>
      </c>
      <c r="AR221" s="277" t="e">
        <f t="shared" ca="1" si="201"/>
        <v>#NAME?</v>
      </c>
    </row>
    <row r="222" spans="1:44" ht="30" customHeight="1">
      <c r="A222" s="212"/>
      <c r="B222" s="295" t="s">
        <v>219</v>
      </c>
      <c r="C222" s="296"/>
      <c r="D222" s="361"/>
      <c r="E222" s="364" t="s">
        <v>48</v>
      </c>
      <c r="F222" s="217" t="s">
        <v>48</v>
      </c>
      <c r="G222" s="462" t="s">
        <v>1473</v>
      </c>
      <c r="H222" s="217" t="s">
        <v>48</v>
      </c>
      <c r="I222" s="217" t="s">
        <v>48</v>
      </c>
      <c r="J222" s="217" t="s">
        <v>48</v>
      </c>
      <c r="K222" s="217" t="s">
        <v>48</v>
      </c>
      <c r="L222" s="217" t="s">
        <v>48</v>
      </c>
      <c r="M222" s="217" t="s">
        <v>48</v>
      </c>
      <c r="N222" s="242" t="s">
        <v>48</v>
      </c>
      <c r="O222" s="408"/>
      <c r="P222" s="147"/>
      <c r="Q222" s="158"/>
      <c r="R222" s="102"/>
      <c r="V222" s="283"/>
      <c r="W222" s="256"/>
      <c r="X222" s="256"/>
      <c r="Y222" s="256"/>
      <c r="Z222" s="256"/>
      <c r="AA222" s="256"/>
      <c r="AB222" s="256"/>
      <c r="AC222" s="264"/>
      <c r="AD222" s="283"/>
      <c r="AE222" s="256"/>
      <c r="AF222" s="256"/>
      <c r="AG222" s="256"/>
      <c r="AH222" s="256"/>
      <c r="AI222" s="256"/>
      <c r="AJ222" s="256"/>
      <c r="AK222" s="264"/>
      <c r="AL222" s="283"/>
      <c r="AM222" s="277"/>
      <c r="AN222" s="277"/>
      <c r="AO222" s="277"/>
      <c r="AP222" s="277"/>
      <c r="AQ222" s="277"/>
      <c r="AR222" s="277"/>
    </row>
    <row r="223" spans="1:44" ht="14.1" customHeight="1">
      <c r="A223" s="513" t="s">
        <v>892</v>
      </c>
      <c r="B223" s="557" t="s">
        <v>206</v>
      </c>
      <c r="C223" s="560"/>
      <c r="D223" s="572"/>
      <c r="E223" s="366" t="s">
        <v>36</v>
      </c>
      <c r="F223" s="215" t="s">
        <v>34</v>
      </c>
      <c r="G223" s="215" t="s">
        <v>34</v>
      </c>
      <c r="H223" s="218" t="s">
        <v>36</v>
      </c>
      <c r="I223" s="215" t="s">
        <v>35</v>
      </c>
      <c r="J223" s="218" t="s">
        <v>36</v>
      </c>
      <c r="K223" s="215" t="s">
        <v>34</v>
      </c>
      <c r="L223" s="215" t="s">
        <v>34</v>
      </c>
      <c r="M223" s="215" t="s">
        <v>35</v>
      </c>
      <c r="N223" s="243" t="s">
        <v>36</v>
      </c>
      <c r="O223" s="352"/>
      <c r="P223" s="147"/>
      <c r="Q223" s="158"/>
      <c r="R223" s="102"/>
      <c r="V223" s="253" t="s">
        <v>38</v>
      </c>
      <c r="W223" s="253" t="s">
        <v>35</v>
      </c>
      <c r="X223" s="253" t="s">
        <v>39</v>
      </c>
      <c r="Y223" s="275" t="s">
        <v>34</v>
      </c>
      <c r="Z223" s="275" t="s">
        <v>36</v>
      </c>
      <c r="AA223" s="275" t="s">
        <v>40</v>
      </c>
      <c r="AB223" s="275" t="s">
        <v>41</v>
      </c>
      <c r="AC223" s="264"/>
      <c r="AD223" s="253" t="s">
        <v>38</v>
      </c>
      <c r="AE223" s="253" t="s">
        <v>35</v>
      </c>
      <c r="AF223" s="253" t="s">
        <v>39</v>
      </c>
      <c r="AG223" s="275" t="s">
        <v>34</v>
      </c>
      <c r="AH223" s="275" t="s">
        <v>36</v>
      </c>
      <c r="AI223" s="275" t="s">
        <v>40</v>
      </c>
      <c r="AJ223" s="275" t="s">
        <v>41</v>
      </c>
      <c r="AK223" s="264"/>
      <c r="AL223" s="253" t="s">
        <v>38</v>
      </c>
      <c r="AM223" s="276" t="s">
        <v>35</v>
      </c>
      <c r="AN223" s="276" t="s">
        <v>39</v>
      </c>
      <c r="AO223" s="275" t="s">
        <v>34</v>
      </c>
      <c r="AP223" s="275" t="s">
        <v>36</v>
      </c>
      <c r="AQ223" s="275" t="s">
        <v>40</v>
      </c>
      <c r="AR223" s="275" t="s">
        <v>41</v>
      </c>
    </row>
    <row r="224" spans="1:44" ht="30" customHeight="1">
      <c r="A224" s="513"/>
      <c r="B224" s="557"/>
      <c r="C224" s="560"/>
      <c r="D224" s="567"/>
      <c r="E224" s="372" t="s">
        <v>660</v>
      </c>
      <c r="F224" s="62" t="s">
        <v>893</v>
      </c>
      <c r="G224" s="62" t="s">
        <v>894</v>
      </c>
      <c r="H224" s="287" t="s">
        <v>765</v>
      </c>
      <c r="I224" s="40" t="s">
        <v>285</v>
      </c>
      <c r="J224" s="220" t="s">
        <v>660</v>
      </c>
      <c r="K224" s="62" t="s">
        <v>736</v>
      </c>
      <c r="L224" s="443" t="s">
        <v>1772</v>
      </c>
      <c r="M224" s="46" t="s">
        <v>1711</v>
      </c>
      <c r="N224" s="239" t="s">
        <v>660</v>
      </c>
      <c r="O224" s="408"/>
      <c r="P224" s="425"/>
      <c r="Q224" s="420" t="s">
        <v>48</v>
      </c>
      <c r="R224" s="102"/>
      <c r="V224" s="311" t="s">
        <v>206</v>
      </c>
      <c r="W224" s="256">
        <f t="shared" ref="W224:AB224" si="202">COUNTIF($E223:$N223,W223)</f>
        <v>2</v>
      </c>
      <c r="X224" s="256">
        <f t="shared" si="202"/>
        <v>0</v>
      </c>
      <c r="Y224" s="256">
        <f t="shared" si="202"/>
        <v>4</v>
      </c>
      <c r="Z224" s="256">
        <f t="shared" si="202"/>
        <v>4</v>
      </c>
      <c r="AA224" s="256">
        <f t="shared" si="202"/>
        <v>0</v>
      </c>
      <c r="AB224" s="256">
        <f t="shared" si="202"/>
        <v>0</v>
      </c>
      <c r="AC224" s="264"/>
      <c r="AD224" s="311" t="s">
        <v>206</v>
      </c>
      <c r="AE224" s="256" t="e">
        <f ca="1">colorcount($E224:$N224,$S$3)+colorcount($E224:$N224,$S$4)+colorcount($E224:$N224,$S$5)+colorcount($E224:$N224,$S$6)+colorcount($E224:$N224,$S$7)+colorcount($E224:$N224,$S$9)+colorcount($E224:$N224,$S$10)+colorcount($E224:$N224,$S$11)+colorcount($E224:$N224,$S$12)</f>
        <v>#NAME?</v>
      </c>
      <c r="AF224" s="256" t="e">
        <f ca="1">colorcount($E224:$N224,$S$15)</f>
        <v>#NAME?</v>
      </c>
      <c r="AG224" s="256" t="e">
        <f ca="1">colorcount($E224:$N224,$S$17)+colorcount($E224:$N224,$S$18)+colorcount($E224:$N224,$S$19)+colorcount($E224:$N224,$S$20)+colorcount($E224:$N224,$S$21)</f>
        <v>#NAME?</v>
      </c>
      <c r="AH224" s="256" t="e">
        <f ca="1">colorcount($E224:$N224,$S$23)</f>
        <v>#NAME?</v>
      </c>
      <c r="AI224" s="256" t="e">
        <f ca="1">colorcount($E224:$N224,$S$26)</f>
        <v>#NAME?</v>
      </c>
      <c r="AJ224" s="256" t="e">
        <f ca="1">colorcount($E224:$N224,$S$28)</f>
        <v>#NAME?</v>
      </c>
      <c r="AK224" s="264"/>
      <c r="AL224" s="311" t="s">
        <v>206</v>
      </c>
      <c r="AM224" s="277" t="e">
        <f t="shared" ref="AM224:AR224" ca="1" si="203">IF(W224=AE224,"O","X")</f>
        <v>#NAME?</v>
      </c>
      <c r="AN224" s="277" t="e">
        <f t="shared" ca="1" si="203"/>
        <v>#NAME?</v>
      </c>
      <c r="AO224" s="277" t="e">
        <f t="shared" ca="1" si="203"/>
        <v>#NAME?</v>
      </c>
      <c r="AP224" s="277" t="e">
        <f t="shared" ca="1" si="203"/>
        <v>#NAME?</v>
      </c>
      <c r="AQ224" s="277" t="e">
        <f t="shared" ca="1" si="203"/>
        <v>#NAME?</v>
      </c>
      <c r="AR224" s="277" t="e">
        <f t="shared" ca="1" si="203"/>
        <v>#NAME?</v>
      </c>
    </row>
    <row r="225" spans="1:44" ht="14.1" customHeight="1">
      <c r="A225" s="513" t="s">
        <v>896</v>
      </c>
      <c r="B225" s="557" t="s">
        <v>897</v>
      </c>
      <c r="C225" s="560"/>
      <c r="D225" s="567"/>
      <c r="E225" s="363" t="s">
        <v>34</v>
      </c>
      <c r="F225" s="215" t="s">
        <v>34</v>
      </c>
      <c r="G225" s="215" t="s">
        <v>34</v>
      </c>
      <c r="H225" s="215" t="s">
        <v>34</v>
      </c>
      <c r="I225" s="215" t="s">
        <v>34</v>
      </c>
      <c r="J225" s="215" t="s">
        <v>34</v>
      </c>
      <c r="K225" s="215" t="s">
        <v>34</v>
      </c>
      <c r="L225" s="215" t="s">
        <v>34</v>
      </c>
      <c r="M225" s="215" t="s">
        <v>35</v>
      </c>
      <c r="N225" s="241" t="s">
        <v>35</v>
      </c>
      <c r="O225" s="352"/>
      <c r="P225" s="147"/>
      <c r="Q225" s="158"/>
      <c r="R225" s="102"/>
      <c r="V225" s="253" t="s">
        <v>38</v>
      </c>
      <c r="W225" s="253" t="s">
        <v>35</v>
      </c>
      <c r="X225" s="253" t="s">
        <v>39</v>
      </c>
      <c r="Y225" s="275" t="s">
        <v>34</v>
      </c>
      <c r="Z225" s="275" t="s">
        <v>36</v>
      </c>
      <c r="AA225" s="275" t="s">
        <v>40</v>
      </c>
      <c r="AB225" s="275" t="s">
        <v>41</v>
      </c>
      <c r="AC225" s="264"/>
      <c r="AD225" s="253" t="s">
        <v>38</v>
      </c>
      <c r="AE225" s="253" t="s">
        <v>35</v>
      </c>
      <c r="AF225" s="253" t="s">
        <v>39</v>
      </c>
      <c r="AG225" s="275" t="s">
        <v>34</v>
      </c>
      <c r="AH225" s="275" t="s">
        <v>36</v>
      </c>
      <c r="AI225" s="275" t="s">
        <v>40</v>
      </c>
      <c r="AJ225" s="275" t="s">
        <v>41</v>
      </c>
      <c r="AK225" s="264"/>
      <c r="AL225" s="253" t="s">
        <v>38</v>
      </c>
      <c r="AM225" s="276" t="s">
        <v>35</v>
      </c>
      <c r="AN225" s="276" t="s">
        <v>39</v>
      </c>
      <c r="AO225" s="275" t="s">
        <v>34</v>
      </c>
      <c r="AP225" s="275" t="s">
        <v>36</v>
      </c>
      <c r="AQ225" s="275" t="s">
        <v>40</v>
      </c>
      <c r="AR225" s="275" t="s">
        <v>41</v>
      </c>
    </row>
    <row r="226" spans="1:44" ht="30" customHeight="1">
      <c r="A226" s="513"/>
      <c r="B226" s="557"/>
      <c r="C226" s="560"/>
      <c r="D226" s="567"/>
      <c r="E226" s="63" t="s">
        <v>898</v>
      </c>
      <c r="F226" s="62" t="s">
        <v>899</v>
      </c>
      <c r="G226" s="443" t="s">
        <v>1586</v>
      </c>
      <c r="H226" s="59" t="s">
        <v>1525</v>
      </c>
      <c r="I226" s="443" t="s">
        <v>1772</v>
      </c>
      <c r="J226" s="59" t="s">
        <v>1562</v>
      </c>
      <c r="K226" s="59" t="s">
        <v>667</v>
      </c>
      <c r="L226" s="62" t="s">
        <v>736</v>
      </c>
      <c r="M226" s="38" t="s">
        <v>901</v>
      </c>
      <c r="N226" s="82" t="s">
        <v>1631</v>
      </c>
      <c r="O226" s="408"/>
      <c r="P226" s="425"/>
      <c r="Q226" s="420" t="s">
        <v>48</v>
      </c>
      <c r="R226" s="102"/>
      <c r="V226" s="294" t="s">
        <v>559</v>
      </c>
      <c r="W226" s="256">
        <f t="shared" ref="W226:AB226" si="204">COUNTIF($E225:$N225,W225)</f>
        <v>2</v>
      </c>
      <c r="X226" s="256">
        <f t="shared" si="204"/>
        <v>0</v>
      </c>
      <c r="Y226" s="256">
        <f t="shared" si="204"/>
        <v>8</v>
      </c>
      <c r="Z226" s="256">
        <f t="shared" si="204"/>
        <v>0</v>
      </c>
      <c r="AA226" s="256">
        <f t="shared" si="204"/>
        <v>0</v>
      </c>
      <c r="AB226" s="256">
        <f t="shared" si="204"/>
        <v>0</v>
      </c>
      <c r="AC226" s="264"/>
      <c r="AD226" s="294" t="s">
        <v>559</v>
      </c>
      <c r="AE226" s="256" t="e">
        <f ca="1">colorcount($E226:$N226,$S$3)+colorcount($E226:$N226,$S$4)+colorcount($E226:$N226,$S$5)+colorcount($E226:$N226,$S$6)+colorcount($E226:$N226,$S$7)+colorcount($E226:$N226,$S$9)+colorcount($E226:$N226,$S$10)+colorcount($E226:$N226,$S$11)+colorcount($E226:$N226,$S$12)</f>
        <v>#NAME?</v>
      </c>
      <c r="AF226" s="256" t="e">
        <f ca="1">colorcount($E226:$N226,$S$15)</f>
        <v>#NAME?</v>
      </c>
      <c r="AG226" s="256" t="e">
        <f ca="1">colorcount($E226:$N226,$S$17)+colorcount($E226:$N226,$S$18)+colorcount($E226:$N226,$S$19)+colorcount($E226:$N226,$S$20)+colorcount($E226:$N226,$S$21)</f>
        <v>#NAME?</v>
      </c>
      <c r="AH226" s="256" t="e">
        <f ca="1">colorcount($E226:$N226,$S$23)</f>
        <v>#NAME?</v>
      </c>
      <c r="AI226" s="256" t="e">
        <f ca="1">colorcount($E226:$N226,$S$26)</f>
        <v>#NAME?</v>
      </c>
      <c r="AJ226" s="256" t="e">
        <f ca="1">colorcount($E226:$N226,$S$28)</f>
        <v>#NAME?</v>
      </c>
      <c r="AK226" s="264"/>
      <c r="AL226" s="294" t="s">
        <v>559</v>
      </c>
      <c r="AM226" s="277" t="e">
        <f t="shared" ref="AM226:AR226" ca="1" si="205">IF(W226=AE226,"O","X")</f>
        <v>#NAME?</v>
      </c>
      <c r="AN226" s="277" t="e">
        <f t="shared" ca="1" si="205"/>
        <v>#NAME?</v>
      </c>
      <c r="AO226" s="277" t="e">
        <f t="shared" ca="1" si="205"/>
        <v>#NAME?</v>
      </c>
      <c r="AP226" s="277" t="e">
        <f t="shared" ca="1" si="205"/>
        <v>#NAME?</v>
      </c>
      <c r="AQ226" s="277" t="e">
        <f t="shared" ca="1" si="205"/>
        <v>#NAME?</v>
      </c>
      <c r="AR226" s="277" t="e">
        <f t="shared" ca="1" si="205"/>
        <v>#NAME?</v>
      </c>
    </row>
    <row r="227" spans="1:44" ht="14.1" customHeight="1">
      <c r="A227" s="513" t="s">
        <v>902</v>
      </c>
      <c r="B227" s="557" t="s">
        <v>903</v>
      </c>
      <c r="C227" s="560"/>
      <c r="D227" s="567"/>
      <c r="E227" s="363" t="s">
        <v>34</v>
      </c>
      <c r="F227" s="215" t="s">
        <v>35</v>
      </c>
      <c r="G227" s="215" t="s">
        <v>35</v>
      </c>
      <c r="H227" s="215" t="s">
        <v>35</v>
      </c>
      <c r="I227" s="215" t="s">
        <v>35</v>
      </c>
      <c r="J227" s="215" t="s">
        <v>35</v>
      </c>
      <c r="K227" s="240" t="s">
        <v>35</v>
      </c>
      <c r="L227" s="215" t="s">
        <v>35</v>
      </c>
      <c r="M227" s="215" t="s">
        <v>35</v>
      </c>
      <c r="N227" s="241" t="s">
        <v>35</v>
      </c>
      <c r="O227" s="352"/>
      <c r="P227" s="147"/>
      <c r="Q227" s="158"/>
      <c r="R227" s="102"/>
      <c r="V227" s="253" t="s">
        <v>38</v>
      </c>
      <c r="W227" s="253" t="s">
        <v>35</v>
      </c>
      <c r="X227" s="253" t="s">
        <v>39</v>
      </c>
      <c r="Y227" s="275" t="s">
        <v>34</v>
      </c>
      <c r="Z227" s="275" t="s">
        <v>36</v>
      </c>
      <c r="AA227" s="275" t="s">
        <v>40</v>
      </c>
      <c r="AB227" s="275" t="s">
        <v>41</v>
      </c>
      <c r="AC227" s="264"/>
      <c r="AD227" s="253" t="s">
        <v>38</v>
      </c>
      <c r="AE227" s="253" t="s">
        <v>35</v>
      </c>
      <c r="AF227" s="253" t="s">
        <v>39</v>
      </c>
      <c r="AG227" s="275" t="s">
        <v>34</v>
      </c>
      <c r="AH227" s="275" t="s">
        <v>36</v>
      </c>
      <c r="AI227" s="275" t="s">
        <v>40</v>
      </c>
      <c r="AJ227" s="275" t="s">
        <v>41</v>
      </c>
      <c r="AK227" s="264"/>
      <c r="AL227" s="253" t="s">
        <v>38</v>
      </c>
      <c r="AM227" s="276" t="s">
        <v>35</v>
      </c>
      <c r="AN227" s="276" t="s">
        <v>39</v>
      </c>
      <c r="AO227" s="275" t="s">
        <v>34</v>
      </c>
      <c r="AP227" s="275" t="s">
        <v>36</v>
      </c>
      <c r="AQ227" s="275" t="s">
        <v>40</v>
      </c>
      <c r="AR227" s="275" t="s">
        <v>41</v>
      </c>
    </row>
    <row r="228" spans="1:44" ht="30" customHeight="1">
      <c r="A228" s="513"/>
      <c r="B228" s="557"/>
      <c r="C228" s="560"/>
      <c r="D228" s="567"/>
      <c r="E228" s="64" t="s">
        <v>732</v>
      </c>
      <c r="F228" s="38" t="s">
        <v>904</v>
      </c>
      <c r="G228" s="38" t="s">
        <v>905</v>
      </c>
      <c r="H228" s="40" t="s">
        <v>906</v>
      </c>
      <c r="I228" s="38" t="s">
        <v>907</v>
      </c>
      <c r="J228" s="38" t="s">
        <v>908</v>
      </c>
      <c r="K228" s="38" t="s">
        <v>909</v>
      </c>
      <c r="L228" s="40" t="s">
        <v>910</v>
      </c>
      <c r="M228" s="38" t="s">
        <v>911</v>
      </c>
      <c r="N228" s="79" t="s">
        <v>912</v>
      </c>
      <c r="O228" s="408"/>
      <c r="P228" s="425"/>
      <c r="Q228" s="420" t="s">
        <v>48</v>
      </c>
      <c r="R228" s="102"/>
      <c r="V228" s="283" t="s">
        <v>913</v>
      </c>
      <c r="W228" s="256">
        <f t="shared" ref="W228:AB228" si="206">COUNTIF($E227:$N227,W227)</f>
        <v>9</v>
      </c>
      <c r="X228" s="256">
        <f t="shared" si="206"/>
        <v>0</v>
      </c>
      <c r="Y228" s="256">
        <f t="shared" si="206"/>
        <v>1</v>
      </c>
      <c r="Z228" s="256">
        <f t="shared" si="206"/>
        <v>0</v>
      </c>
      <c r="AA228" s="256">
        <f t="shared" si="206"/>
        <v>0</v>
      </c>
      <c r="AB228" s="256">
        <f t="shared" si="206"/>
        <v>0</v>
      </c>
      <c r="AC228" s="264"/>
      <c r="AD228" s="283" t="s">
        <v>913</v>
      </c>
      <c r="AE228" s="256" t="e">
        <f ca="1">colorcount($E228:$N228,$S$3)+colorcount($E228:$N228,$S$4)+colorcount($E228:$N228,$S$5)+colorcount($E228:$N228,$S$6)+colorcount($E228:$N228,$S$7)+colorcount($E228:$N228,$S$9)+colorcount($E228:$N228,$S$10)+colorcount($E228:$N228,$S$11)+colorcount($E228:$N228,$S$12)</f>
        <v>#NAME?</v>
      </c>
      <c r="AF228" s="256" t="e">
        <f ca="1">colorcount($E228:$N228,$S$15)</f>
        <v>#NAME?</v>
      </c>
      <c r="AG228" s="256" t="e">
        <f ca="1">colorcount($E228:$N228,$S$17)+colorcount($E228:$N228,$S$18)+colorcount($E228:$N228,$S$19)+colorcount($E228:$N228,$S$20)+colorcount($E228:$N228,$S$21)</f>
        <v>#NAME?</v>
      </c>
      <c r="AH228" s="256" t="e">
        <f ca="1">colorcount($E228:$N228,$S$23)</f>
        <v>#NAME?</v>
      </c>
      <c r="AI228" s="256" t="e">
        <f ca="1">colorcount($E228:$N228,$S$26)</f>
        <v>#NAME?</v>
      </c>
      <c r="AJ228" s="256" t="e">
        <f ca="1">colorcount($E228:$N228,$S$28)</f>
        <v>#NAME?</v>
      </c>
      <c r="AK228" s="264"/>
      <c r="AL228" s="283" t="s">
        <v>913</v>
      </c>
      <c r="AM228" s="277" t="e">
        <f t="shared" ref="AM228:AR228" ca="1" si="207">IF(W228=AE228,"O","X")</f>
        <v>#NAME?</v>
      </c>
      <c r="AN228" s="277" t="e">
        <f t="shared" ca="1" si="207"/>
        <v>#NAME?</v>
      </c>
      <c r="AO228" s="277" t="e">
        <f t="shared" ca="1" si="207"/>
        <v>#NAME?</v>
      </c>
      <c r="AP228" s="277" t="e">
        <f t="shared" ca="1" si="207"/>
        <v>#NAME?</v>
      </c>
      <c r="AQ228" s="277" t="e">
        <f t="shared" ca="1" si="207"/>
        <v>#NAME?</v>
      </c>
      <c r="AR228" s="277" t="e">
        <f t="shared" ca="1" si="207"/>
        <v>#NAME?</v>
      </c>
    </row>
    <row r="229" spans="1:44" ht="14.1" customHeight="1">
      <c r="A229" s="513" t="s">
        <v>914</v>
      </c>
      <c r="B229" s="557" t="s">
        <v>107</v>
      </c>
      <c r="C229" s="560"/>
      <c r="D229" s="567"/>
      <c r="E229" s="363" t="s">
        <v>35</v>
      </c>
      <c r="F229" s="215" t="s">
        <v>34</v>
      </c>
      <c r="G229" s="215" t="s">
        <v>35</v>
      </c>
      <c r="H229" s="215" t="s">
        <v>34</v>
      </c>
      <c r="I229" s="215" t="s">
        <v>35</v>
      </c>
      <c r="J229" s="289" t="s">
        <v>41</v>
      </c>
      <c r="K229" s="215" t="s">
        <v>34</v>
      </c>
      <c r="L229" s="215" t="s">
        <v>34</v>
      </c>
      <c r="M229" s="218" t="s">
        <v>36</v>
      </c>
      <c r="N229" s="241" t="s">
        <v>39</v>
      </c>
      <c r="O229" s="352"/>
      <c r="P229" s="147"/>
      <c r="Q229" s="158"/>
      <c r="R229" s="102"/>
      <c r="V229" s="253" t="s">
        <v>38</v>
      </c>
      <c r="W229" s="253" t="s">
        <v>35</v>
      </c>
      <c r="X229" s="253" t="s">
        <v>39</v>
      </c>
      <c r="Y229" s="275" t="s">
        <v>34</v>
      </c>
      <c r="Z229" s="275" t="s">
        <v>36</v>
      </c>
      <c r="AA229" s="275" t="s">
        <v>40</v>
      </c>
      <c r="AB229" s="275" t="s">
        <v>41</v>
      </c>
      <c r="AC229" s="264"/>
      <c r="AD229" s="253" t="s">
        <v>38</v>
      </c>
      <c r="AE229" s="253" t="s">
        <v>35</v>
      </c>
      <c r="AF229" s="253" t="s">
        <v>39</v>
      </c>
      <c r="AG229" s="275" t="s">
        <v>34</v>
      </c>
      <c r="AH229" s="275" t="s">
        <v>36</v>
      </c>
      <c r="AI229" s="275" t="s">
        <v>40</v>
      </c>
      <c r="AJ229" s="275" t="s">
        <v>41</v>
      </c>
      <c r="AK229" s="264"/>
      <c r="AL229" s="253" t="s">
        <v>38</v>
      </c>
      <c r="AM229" s="276" t="s">
        <v>35</v>
      </c>
      <c r="AN229" s="276" t="s">
        <v>39</v>
      </c>
      <c r="AO229" s="275" t="s">
        <v>34</v>
      </c>
      <c r="AP229" s="275" t="s">
        <v>36</v>
      </c>
      <c r="AQ229" s="275" t="s">
        <v>40</v>
      </c>
      <c r="AR229" s="275" t="s">
        <v>41</v>
      </c>
    </row>
    <row r="230" spans="1:44" ht="30" customHeight="1">
      <c r="A230" s="513"/>
      <c r="B230" s="557"/>
      <c r="C230" s="560"/>
      <c r="D230" s="567"/>
      <c r="E230" s="368" t="s">
        <v>552</v>
      </c>
      <c r="F230" s="62" t="s">
        <v>736</v>
      </c>
      <c r="G230" s="38" t="s">
        <v>1551</v>
      </c>
      <c r="H230" s="62" t="s">
        <v>816</v>
      </c>
      <c r="I230" s="38" t="s">
        <v>915</v>
      </c>
      <c r="J230" s="228" t="s">
        <v>41</v>
      </c>
      <c r="K230" s="62" t="s">
        <v>1475</v>
      </c>
      <c r="L230" s="303" t="s">
        <v>758</v>
      </c>
      <c r="M230" s="220" t="s">
        <v>660</v>
      </c>
      <c r="N230" s="244" t="s">
        <v>58</v>
      </c>
      <c r="O230" s="408"/>
      <c r="P230" s="425"/>
      <c r="Q230" s="420" t="s">
        <v>48</v>
      </c>
      <c r="R230" s="102"/>
      <c r="V230" s="283" t="s">
        <v>107</v>
      </c>
      <c r="W230" s="256">
        <f t="shared" ref="W230:AB230" si="208">COUNTIF($E229:$N229,W229)</f>
        <v>3</v>
      </c>
      <c r="X230" s="256">
        <f t="shared" si="208"/>
        <v>1</v>
      </c>
      <c r="Y230" s="256">
        <f t="shared" si="208"/>
        <v>4</v>
      </c>
      <c r="Z230" s="256">
        <f t="shared" si="208"/>
        <v>1</v>
      </c>
      <c r="AA230" s="256">
        <f t="shared" si="208"/>
        <v>0</v>
      </c>
      <c r="AB230" s="256">
        <f t="shared" si="208"/>
        <v>1</v>
      </c>
      <c r="AC230" s="264"/>
      <c r="AD230" s="283" t="s">
        <v>107</v>
      </c>
      <c r="AE230" s="256" t="e">
        <f ca="1">colorcount($E230:$N230,$S$3)+colorcount($E230:$N230,$S$4)+colorcount($E230:$N230,$S$5)+colorcount($E230:$N230,$S$6)+colorcount($E230:$N230,$S$7)+colorcount($E230:$N230,$S$9)+colorcount($E230:$N230,$S$10)+colorcount($E230:$N230,$S$11)+colorcount($E230:$N230,$S$12)</f>
        <v>#NAME?</v>
      </c>
      <c r="AF230" s="256" t="e">
        <f ca="1">colorcount($E230:$N230,$S$15)</f>
        <v>#NAME?</v>
      </c>
      <c r="AG230" s="256" t="e">
        <f ca="1">colorcount($E230:$N230,$S$17)+colorcount($E230:$N230,$S$18)+colorcount($E230:$N230,$S$19)+colorcount($E230:$N230,$S$20)+colorcount($E230:$N230,$S$21)</f>
        <v>#NAME?</v>
      </c>
      <c r="AH230" s="256" t="e">
        <f ca="1">colorcount($E230:$N230,$S$23)</f>
        <v>#NAME?</v>
      </c>
      <c r="AI230" s="256" t="e">
        <f ca="1">colorcount($E230:$N230,$S$26)</f>
        <v>#NAME?</v>
      </c>
      <c r="AJ230" s="256" t="e">
        <f ca="1">colorcount($E230:$N230,$S$28)</f>
        <v>#NAME?</v>
      </c>
      <c r="AK230" s="264"/>
      <c r="AL230" s="283" t="s">
        <v>107</v>
      </c>
      <c r="AM230" s="277" t="e">
        <f t="shared" ref="AM230:AR230" ca="1" si="209">IF(W230=AE230,"O","X")</f>
        <v>#NAME?</v>
      </c>
      <c r="AN230" s="277" t="e">
        <f t="shared" ca="1" si="209"/>
        <v>#NAME?</v>
      </c>
      <c r="AO230" s="277" t="e">
        <f t="shared" ca="1" si="209"/>
        <v>#NAME?</v>
      </c>
      <c r="AP230" s="277" t="e">
        <f t="shared" ca="1" si="209"/>
        <v>#NAME?</v>
      </c>
      <c r="AQ230" s="277" t="e">
        <f t="shared" ca="1" si="209"/>
        <v>#NAME?</v>
      </c>
      <c r="AR230" s="277" t="e">
        <f t="shared" ca="1" si="209"/>
        <v>#NAME?</v>
      </c>
    </row>
    <row r="231" spans="1:44" ht="14.1" customHeight="1">
      <c r="A231" s="513" t="s">
        <v>916</v>
      </c>
      <c r="B231" s="557" t="s">
        <v>917</v>
      </c>
      <c r="C231" s="560"/>
      <c r="D231" s="567"/>
      <c r="E231" s="363" t="s">
        <v>35</v>
      </c>
      <c r="F231" s="215"/>
      <c r="G231" s="215" t="s">
        <v>34</v>
      </c>
      <c r="H231" s="215" t="s">
        <v>35</v>
      </c>
      <c r="I231" s="215" t="s">
        <v>35</v>
      </c>
      <c r="J231" s="215" t="s">
        <v>34</v>
      </c>
      <c r="K231" s="215" t="s">
        <v>35</v>
      </c>
      <c r="L231" s="215" t="s">
        <v>34</v>
      </c>
      <c r="M231" s="215" t="s">
        <v>35</v>
      </c>
      <c r="N231" s="241" t="s">
        <v>35</v>
      </c>
      <c r="O231" s="352"/>
      <c r="P231" s="147"/>
      <c r="Q231" s="158"/>
      <c r="R231" s="102"/>
      <c r="V231" s="253" t="s">
        <v>38</v>
      </c>
      <c r="W231" s="253" t="s">
        <v>35</v>
      </c>
      <c r="X231" s="253" t="s">
        <v>39</v>
      </c>
      <c r="Y231" s="275" t="s">
        <v>34</v>
      </c>
      <c r="Z231" s="275" t="s">
        <v>36</v>
      </c>
      <c r="AA231" s="275" t="s">
        <v>40</v>
      </c>
      <c r="AB231" s="275" t="s">
        <v>41</v>
      </c>
      <c r="AC231" s="264"/>
      <c r="AD231" s="253" t="s">
        <v>38</v>
      </c>
      <c r="AE231" s="253" t="s">
        <v>35</v>
      </c>
      <c r="AF231" s="253" t="s">
        <v>39</v>
      </c>
      <c r="AG231" s="275" t="s">
        <v>34</v>
      </c>
      <c r="AH231" s="275" t="s">
        <v>36</v>
      </c>
      <c r="AI231" s="275" t="s">
        <v>40</v>
      </c>
      <c r="AJ231" s="275" t="s">
        <v>41</v>
      </c>
      <c r="AK231" s="264"/>
      <c r="AL231" s="253" t="s">
        <v>38</v>
      </c>
      <c r="AM231" s="276" t="s">
        <v>35</v>
      </c>
      <c r="AN231" s="276" t="s">
        <v>39</v>
      </c>
      <c r="AO231" s="275" t="s">
        <v>34</v>
      </c>
      <c r="AP231" s="275" t="s">
        <v>36</v>
      </c>
      <c r="AQ231" s="275" t="s">
        <v>40</v>
      </c>
      <c r="AR231" s="275" t="s">
        <v>41</v>
      </c>
    </row>
    <row r="232" spans="1:44" ht="30" customHeight="1">
      <c r="A232" s="513"/>
      <c r="B232" s="557"/>
      <c r="C232" s="560"/>
      <c r="D232" s="567"/>
      <c r="E232" s="149" t="s">
        <v>918</v>
      </c>
      <c r="F232" s="131" t="s">
        <v>864</v>
      </c>
      <c r="G232" s="58" t="s">
        <v>715</v>
      </c>
      <c r="H232" s="38" t="s">
        <v>919</v>
      </c>
      <c r="I232" s="38" t="s">
        <v>197</v>
      </c>
      <c r="J232" s="62" t="s">
        <v>1527</v>
      </c>
      <c r="K232" s="44" t="s">
        <v>713</v>
      </c>
      <c r="L232" s="62" t="s">
        <v>730</v>
      </c>
      <c r="M232" s="42" t="s">
        <v>920</v>
      </c>
      <c r="N232" s="86" t="s">
        <v>921</v>
      </c>
      <c r="O232" s="408"/>
      <c r="P232" s="425"/>
      <c r="Q232" s="420" t="s">
        <v>48</v>
      </c>
      <c r="R232" s="102"/>
      <c r="V232" s="293" t="s">
        <v>438</v>
      </c>
      <c r="W232" s="256">
        <f t="shared" ref="W232:AB232" si="210">COUNTIF($F231:$N231,W231)</f>
        <v>5</v>
      </c>
      <c r="X232" s="256">
        <f t="shared" si="210"/>
        <v>0</v>
      </c>
      <c r="Y232" s="256">
        <f t="shared" si="210"/>
        <v>3</v>
      </c>
      <c r="Z232" s="256">
        <f t="shared" si="210"/>
        <v>0</v>
      </c>
      <c r="AA232" s="256">
        <f t="shared" si="210"/>
        <v>0</v>
      </c>
      <c r="AB232" s="256">
        <f t="shared" si="210"/>
        <v>0</v>
      </c>
      <c r="AC232" s="264"/>
      <c r="AD232" s="293" t="s">
        <v>438</v>
      </c>
      <c r="AE232" s="256" t="e">
        <f ca="1">colorcount($G232:$N232,$S$3)+colorcount($G232:$N232,$S$4)+colorcount($G232:$N232,$S$5)+colorcount($G232:$N232,$S$6)+colorcount($G232:$N232,$S$7)+colorcount($G232:$N232,$S$9)+colorcount($G232:$N232,$S$10)+colorcount($G232:$N232,$S$11)+colorcount($G232:$N232,$S$12)</f>
        <v>#NAME?</v>
      </c>
      <c r="AF232" s="256" t="e">
        <f ca="1">colorcount($G232:$N232,$S$15)</f>
        <v>#NAME?</v>
      </c>
      <c r="AG232" s="256" t="e">
        <f ca="1">colorcount($G232:$N232,$S$17)+colorcount($G232:$N232,$S$18)+colorcount($G232:$N232,$S$19)+colorcount($G232:$N232,$S$20)+colorcount($G232:$N232,$S$21)</f>
        <v>#NAME?</v>
      </c>
      <c r="AH232" s="256" t="e">
        <f ca="1">colorcount($G232:$N232,$S$23)</f>
        <v>#NAME?</v>
      </c>
      <c r="AI232" s="256" t="e">
        <f ca="1">colorcount($G232:$N232,$S$26)</f>
        <v>#NAME?</v>
      </c>
      <c r="AJ232" s="256" t="e">
        <f ca="1">colorcount($G232:$N232,$S$28)</f>
        <v>#NAME?</v>
      </c>
      <c r="AK232" s="264"/>
      <c r="AL232" s="293" t="s">
        <v>438</v>
      </c>
      <c r="AM232" s="277" t="e">
        <f t="shared" ref="AM232:AR232" ca="1" si="211">IF(W232=AE232,"O","X")</f>
        <v>#NAME?</v>
      </c>
      <c r="AN232" s="277" t="e">
        <f t="shared" ca="1" si="211"/>
        <v>#NAME?</v>
      </c>
      <c r="AO232" s="277" t="e">
        <f t="shared" ca="1" si="211"/>
        <v>#NAME?</v>
      </c>
      <c r="AP232" s="277" t="e">
        <f t="shared" ca="1" si="211"/>
        <v>#NAME?</v>
      </c>
      <c r="AQ232" s="277" t="e">
        <f t="shared" ca="1" si="211"/>
        <v>#NAME?</v>
      </c>
      <c r="AR232" s="277" t="e">
        <f t="shared" ca="1" si="211"/>
        <v>#NAME?</v>
      </c>
    </row>
    <row r="233" spans="1:44" ht="14.1" customHeight="1">
      <c r="A233" s="513" t="s">
        <v>922</v>
      </c>
      <c r="B233" s="557" t="s">
        <v>80</v>
      </c>
      <c r="C233" s="560"/>
      <c r="D233" s="567"/>
      <c r="E233" s="363" t="s">
        <v>39</v>
      </c>
      <c r="F233" s="215" t="s">
        <v>39</v>
      </c>
      <c r="G233" s="215" t="s">
        <v>39</v>
      </c>
      <c r="H233" s="215" t="s">
        <v>39</v>
      </c>
      <c r="I233" s="215" t="s">
        <v>35</v>
      </c>
      <c r="J233" s="215" t="s">
        <v>34</v>
      </c>
      <c r="K233" s="215" t="s">
        <v>35</v>
      </c>
      <c r="L233" s="215" t="s">
        <v>39</v>
      </c>
      <c r="M233" s="215" t="s">
        <v>39</v>
      </c>
      <c r="N233" s="241" t="s">
        <v>35</v>
      </c>
      <c r="O233" s="352"/>
      <c r="P233" s="147"/>
      <c r="Q233" s="158"/>
      <c r="R233" s="102"/>
      <c r="V233" s="253" t="s">
        <v>38</v>
      </c>
      <c r="W233" s="253" t="s">
        <v>35</v>
      </c>
      <c r="X233" s="253" t="s">
        <v>39</v>
      </c>
      <c r="Y233" s="275" t="s">
        <v>34</v>
      </c>
      <c r="Z233" s="275" t="s">
        <v>36</v>
      </c>
      <c r="AA233" s="275" t="s">
        <v>40</v>
      </c>
      <c r="AB233" s="275" t="s">
        <v>41</v>
      </c>
      <c r="AC233" s="264"/>
      <c r="AD233" s="253" t="s">
        <v>38</v>
      </c>
      <c r="AE233" s="253" t="s">
        <v>35</v>
      </c>
      <c r="AF233" s="253" t="s">
        <v>39</v>
      </c>
      <c r="AG233" s="275" t="s">
        <v>34</v>
      </c>
      <c r="AH233" s="275" t="s">
        <v>36</v>
      </c>
      <c r="AI233" s="275" t="s">
        <v>40</v>
      </c>
      <c r="AJ233" s="275" t="s">
        <v>41</v>
      </c>
      <c r="AK233" s="264"/>
      <c r="AL233" s="253" t="s">
        <v>38</v>
      </c>
      <c r="AM233" s="276" t="s">
        <v>35</v>
      </c>
      <c r="AN233" s="276" t="s">
        <v>39</v>
      </c>
      <c r="AO233" s="275" t="s">
        <v>34</v>
      </c>
      <c r="AP233" s="275" t="s">
        <v>36</v>
      </c>
      <c r="AQ233" s="275" t="s">
        <v>40</v>
      </c>
      <c r="AR233" s="275" t="s">
        <v>41</v>
      </c>
    </row>
    <row r="234" spans="1:44" ht="30" customHeight="1">
      <c r="A234" s="513"/>
      <c r="B234" s="557"/>
      <c r="C234" s="560"/>
      <c r="D234" s="567"/>
      <c r="E234" s="369" t="s">
        <v>59</v>
      </c>
      <c r="F234" s="221" t="s">
        <v>59</v>
      </c>
      <c r="G234" s="221" t="s">
        <v>59</v>
      </c>
      <c r="H234" s="221" t="s">
        <v>59</v>
      </c>
      <c r="I234" s="38" t="s">
        <v>923</v>
      </c>
      <c r="J234" s="285" t="s">
        <v>667</v>
      </c>
      <c r="K234" s="46" t="s">
        <v>1700</v>
      </c>
      <c r="L234" s="221" t="s">
        <v>59</v>
      </c>
      <c r="M234" s="221" t="s">
        <v>59</v>
      </c>
      <c r="N234" s="82" t="s">
        <v>1703</v>
      </c>
      <c r="O234" s="408"/>
      <c r="P234" s="425"/>
      <c r="Q234" s="420" t="s">
        <v>48</v>
      </c>
      <c r="R234" s="102"/>
      <c r="V234" s="283" t="s">
        <v>925</v>
      </c>
      <c r="W234" s="256">
        <f t="shared" ref="W234:AB234" si="212">COUNTIF($E233:$N233,W233)</f>
        <v>3</v>
      </c>
      <c r="X234" s="256">
        <f t="shared" si="212"/>
        <v>6</v>
      </c>
      <c r="Y234" s="256">
        <f t="shared" si="212"/>
        <v>1</v>
      </c>
      <c r="Z234" s="256">
        <f t="shared" si="212"/>
        <v>0</v>
      </c>
      <c r="AA234" s="256">
        <f t="shared" si="212"/>
        <v>0</v>
      </c>
      <c r="AB234" s="256">
        <f t="shared" si="212"/>
        <v>0</v>
      </c>
      <c r="AC234" s="264"/>
      <c r="AD234" s="283" t="s">
        <v>925</v>
      </c>
      <c r="AE234" s="256" t="e">
        <f ca="1">colorcount($E234:$N234,$S$3)+colorcount($E234:$N234,$S$4)+colorcount($E234:$N234,$S$5)+colorcount($E234:$N234,$S$6)+colorcount($E234:$N234,$S$7)+colorcount($E234:$N234,$S$9)+colorcount($E234:$N234,$S$10)+colorcount($E234:$N234,$S$11)+colorcount($E234:$N234,$S$12)</f>
        <v>#NAME?</v>
      </c>
      <c r="AF234" s="256" t="e">
        <f ca="1">colorcount($E234:$N234,$S$15)</f>
        <v>#NAME?</v>
      </c>
      <c r="AG234" s="256" t="e">
        <f ca="1">colorcount($E234:$N234,$S$17)+colorcount($E234:$N234,$S$18)+colorcount($E234:$N234,$S$19)+colorcount($E234:$N234,$S$20)+colorcount($E234:$N234,$S$21)</f>
        <v>#NAME?</v>
      </c>
      <c r="AH234" s="256" t="e">
        <f ca="1">colorcount($E234:$N234,$S$23)</f>
        <v>#NAME?</v>
      </c>
      <c r="AI234" s="256" t="e">
        <f ca="1">colorcount($E234:$N234,$S$26)</f>
        <v>#NAME?</v>
      </c>
      <c r="AJ234" s="256" t="e">
        <f ca="1">colorcount($E234:$N234,$S$28)</f>
        <v>#NAME?</v>
      </c>
      <c r="AK234" s="264"/>
      <c r="AL234" s="283" t="s">
        <v>925</v>
      </c>
      <c r="AM234" s="277" t="e">
        <f t="shared" ref="AM234:AR234" ca="1" si="213">IF(W234=AE234,"O","X")</f>
        <v>#NAME?</v>
      </c>
      <c r="AN234" s="277" t="e">
        <f t="shared" ca="1" si="213"/>
        <v>#NAME?</v>
      </c>
      <c r="AO234" s="277" t="e">
        <f t="shared" ca="1" si="213"/>
        <v>#NAME?</v>
      </c>
      <c r="AP234" s="277" t="e">
        <f t="shared" ca="1" si="213"/>
        <v>#NAME?</v>
      </c>
      <c r="AQ234" s="277" t="e">
        <f t="shared" ca="1" si="213"/>
        <v>#NAME?</v>
      </c>
      <c r="AR234" s="277" t="e">
        <f t="shared" ca="1" si="213"/>
        <v>#NAME?</v>
      </c>
    </row>
    <row r="235" spans="1:44" ht="30" customHeight="1">
      <c r="A235" s="212"/>
      <c r="B235" s="216" t="s">
        <v>926</v>
      </c>
      <c r="C235" s="296"/>
      <c r="D235" s="361"/>
      <c r="E235" s="149" t="s">
        <v>927</v>
      </c>
      <c r="F235" s="456" t="s">
        <v>928</v>
      </c>
      <c r="G235" s="38" t="s">
        <v>929</v>
      </c>
      <c r="H235" s="46" t="s">
        <v>1674</v>
      </c>
      <c r="I235" s="217" t="s">
        <v>48</v>
      </c>
      <c r="J235" s="217" t="s">
        <v>48</v>
      </c>
      <c r="K235" s="217" t="s">
        <v>48</v>
      </c>
      <c r="L235" s="44" t="s">
        <v>930</v>
      </c>
      <c r="M235" s="42" t="s">
        <v>931</v>
      </c>
      <c r="N235" s="242" t="s">
        <v>48</v>
      </c>
      <c r="O235" s="408"/>
      <c r="P235" s="147"/>
      <c r="Q235" s="158"/>
      <c r="R235" s="102"/>
      <c r="V235" s="283"/>
      <c r="W235" s="256"/>
      <c r="X235" s="256"/>
      <c r="Y235" s="256"/>
      <c r="Z235" s="256"/>
      <c r="AA235" s="256"/>
      <c r="AB235" s="256"/>
      <c r="AC235" s="264"/>
      <c r="AD235" s="283"/>
      <c r="AE235" s="256"/>
      <c r="AF235" s="256"/>
      <c r="AG235" s="256"/>
      <c r="AH235" s="256"/>
      <c r="AI235" s="256"/>
      <c r="AJ235" s="256"/>
      <c r="AK235" s="264"/>
      <c r="AL235" s="283"/>
      <c r="AM235" s="277"/>
      <c r="AN235" s="277"/>
      <c r="AO235" s="277"/>
      <c r="AP235" s="277"/>
      <c r="AQ235" s="277"/>
      <c r="AR235" s="277"/>
    </row>
    <row r="236" spans="1:44" ht="14.1" customHeight="1">
      <c r="A236" s="513" t="s">
        <v>932</v>
      </c>
      <c r="B236" s="557" t="s">
        <v>933</v>
      </c>
      <c r="C236" s="560"/>
      <c r="D236" s="567"/>
      <c r="E236" s="363" t="s">
        <v>39</v>
      </c>
      <c r="F236" s="215" t="s">
        <v>34</v>
      </c>
      <c r="G236" s="215" t="s">
        <v>34</v>
      </c>
      <c r="H236" s="215" t="s">
        <v>35</v>
      </c>
      <c r="I236" s="215" t="s">
        <v>34</v>
      </c>
      <c r="J236" s="215" t="s">
        <v>34</v>
      </c>
      <c r="K236" s="215" t="s">
        <v>35</v>
      </c>
      <c r="L236" s="215" t="s">
        <v>35</v>
      </c>
      <c r="M236" s="215" t="s">
        <v>35</v>
      </c>
      <c r="N236" s="279" t="s">
        <v>35</v>
      </c>
      <c r="O236" s="352"/>
      <c r="P236" s="147"/>
      <c r="Q236" s="158"/>
      <c r="R236" s="102"/>
      <c r="V236" s="253" t="s">
        <v>38</v>
      </c>
      <c r="W236" s="253" t="s">
        <v>35</v>
      </c>
      <c r="X236" s="253" t="s">
        <v>39</v>
      </c>
      <c r="Y236" s="275" t="s">
        <v>34</v>
      </c>
      <c r="Z236" s="275" t="s">
        <v>36</v>
      </c>
      <c r="AA236" s="275" t="s">
        <v>40</v>
      </c>
      <c r="AB236" s="275" t="s">
        <v>41</v>
      </c>
      <c r="AC236" s="264"/>
      <c r="AD236" s="253" t="s">
        <v>38</v>
      </c>
      <c r="AE236" s="253" t="s">
        <v>35</v>
      </c>
      <c r="AF236" s="253" t="s">
        <v>39</v>
      </c>
      <c r="AG236" s="275" t="s">
        <v>34</v>
      </c>
      <c r="AH236" s="275" t="s">
        <v>36</v>
      </c>
      <c r="AI236" s="275" t="s">
        <v>40</v>
      </c>
      <c r="AJ236" s="275" t="s">
        <v>41</v>
      </c>
      <c r="AK236" s="264"/>
      <c r="AL236" s="253" t="s">
        <v>38</v>
      </c>
      <c r="AM236" s="276" t="s">
        <v>35</v>
      </c>
      <c r="AN236" s="276" t="s">
        <v>39</v>
      </c>
      <c r="AO236" s="275" t="s">
        <v>34</v>
      </c>
      <c r="AP236" s="275" t="s">
        <v>36</v>
      </c>
      <c r="AQ236" s="275" t="s">
        <v>40</v>
      </c>
      <c r="AR236" s="275" t="s">
        <v>41</v>
      </c>
    </row>
    <row r="237" spans="1:44" ht="30" customHeight="1">
      <c r="A237" s="513"/>
      <c r="B237" s="557"/>
      <c r="C237" s="560"/>
      <c r="D237" s="567"/>
      <c r="E237" s="333" t="s">
        <v>172</v>
      </c>
      <c r="F237" s="59" t="s">
        <v>1097</v>
      </c>
      <c r="G237" s="443" t="s">
        <v>1772</v>
      </c>
      <c r="H237" s="38" t="s">
        <v>934</v>
      </c>
      <c r="I237" s="62" t="s">
        <v>816</v>
      </c>
      <c r="J237" s="59" t="s">
        <v>1523</v>
      </c>
      <c r="K237" s="38" t="s">
        <v>935</v>
      </c>
      <c r="L237" s="456" t="s">
        <v>936</v>
      </c>
      <c r="M237" s="38" t="s">
        <v>937</v>
      </c>
      <c r="N237" s="77" t="s">
        <v>938</v>
      </c>
      <c r="O237" s="408"/>
      <c r="P237" s="425"/>
      <c r="Q237" s="420" t="s">
        <v>48</v>
      </c>
      <c r="R237" s="102"/>
      <c r="V237" s="283" t="s">
        <v>933</v>
      </c>
      <c r="W237" s="256">
        <f t="shared" ref="W237:AB237" si="214">COUNTIF($E236:$N236,W236)</f>
        <v>5</v>
      </c>
      <c r="X237" s="256">
        <f t="shared" si="214"/>
        <v>1</v>
      </c>
      <c r="Y237" s="256">
        <f t="shared" si="214"/>
        <v>4</v>
      </c>
      <c r="Z237" s="256">
        <f t="shared" si="214"/>
        <v>0</v>
      </c>
      <c r="AA237" s="256">
        <f t="shared" si="214"/>
        <v>0</v>
      </c>
      <c r="AB237" s="256">
        <f t="shared" si="214"/>
        <v>0</v>
      </c>
      <c r="AC237" s="264"/>
      <c r="AD237" s="283" t="s">
        <v>933</v>
      </c>
      <c r="AE237" s="256" t="e">
        <f ca="1">colorcount($E237:$N237,$S$3)+colorcount($E237:$N237,$S$4)+colorcount($E237:$N237,$S$5)+colorcount($E237:$N237,$S$6)+colorcount($E237:$N237,$S$7)+colorcount($E237:$N237,$S$9)+colorcount($E237:$N237,$S$10)+colorcount($E237:$N237,$S$11)+colorcount($E237:$N237,$S$12)</f>
        <v>#NAME?</v>
      </c>
      <c r="AF237" s="256" t="e">
        <f ca="1">colorcount($E237:$N237,$S$15)</f>
        <v>#NAME?</v>
      </c>
      <c r="AG237" s="256" t="e">
        <f ca="1">colorcount($E237:$N237,$S$17)+colorcount($E237:$N237,$S$18)+colorcount($E237:$N237,$S$19)+colorcount($E237:$N237,$S$20)+colorcount($E237:$N237,$S$21)</f>
        <v>#NAME?</v>
      </c>
      <c r="AH237" s="256" t="e">
        <f ca="1">colorcount($E237:$N237,$S$23)</f>
        <v>#NAME?</v>
      </c>
      <c r="AI237" s="256" t="e">
        <f ca="1">colorcount($E237:$N237,$S$26)</f>
        <v>#NAME?</v>
      </c>
      <c r="AJ237" s="256" t="e">
        <f ca="1">colorcount($E237:$N237,$S$28)</f>
        <v>#NAME?</v>
      </c>
      <c r="AK237" s="264"/>
      <c r="AL237" s="283" t="s">
        <v>933</v>
      </c>
      <c r="AM237" s="277" t="e">
        <f t="shared" ref="AM237:AR237" ca="1" si="215">IF(W237=AE237,"O","X")</f>
        <v>#NAME?</v>
      </c>
      <c r="AN237" s="277" t="e">
        <f t="shared" ca="1" si="215"/>
        <v>#NAME?</v>
      </c>
      <c r="AO237" s="277" t="e">
        <f t="shared" ca="1" si="215"/>
        <v>#NAME?</v>
      </c>
      <c r="AP237" s="277" t="e">
        <f t="shared" ca="1" si="215"/>
        <v>#NAME?</v>
      </c>
      <c r="AQ237" s="277" t="e">
        <f t="shared" ca="1" si="215"/>
        <v>#NAME?</v>
      </c>
      <c r="AR237" s="277" t="e">
        <f t="shared" ca="1" si="215"/>
        <v>#NAME?</v>
      </c>
    </row>
    <row r="238" spans="1:44" ht="14.1" customHeight="1">
      <c r="A238" s="513" t="s">
        <v>939</v>
      </c>
      <c r="B238" s="557" t="s">
        <v>577</v>
      </c>
      <c r="C238" s="560"/>
      <c r="D238" s="567"/>
      <c r="E238" s="363" t="s">
        <v>34</v>
      </c>
      <c r="F238" s="215" t="s">
        <v>35</v>
      </c>
      <c r="G238" s="215" t="s">
        <v>35</v>
      </c>
      <c r="H238" s="215" t="s">
        <v>34</v>
      </c>
      <c r="I238" s="215" t="s">
        <v>35</v>
      </c>
      <c r="J238" s="215" t="s">
        <v>35</v>
      </c>
      <c r="K238" s="215" t="s">
        <v>34</v>
      </c>
      <c r="L238" s="215" t="s">
        <v>35</v>
      </c>
      <c r="M238" s="215" t="s">
        <v>35</v>
      </c>
      <c r="N238" s="241" t="s">
        <v>35</v>
      </c>
      <c r="O238" s="352"/>
      <c r="P238" s="147"/>
      <c r="Q238" s="158"/>
      <c r="R238" s="102"/>
      <c r="V238" s="253" t="s">
        <v>38</v>
      </c>
      <c r="W238" s="253" t="s">
        <v>35</v>
      </c>
      <c r="X238" s="253" t="s">
        <v>39</v>
      </c>
      <c r="Y238" s="275" t="s">
        <v>34</v>
      </c>
      <c r="Z238" s="275" t="s">
        <v>36</v>
      </c>
      <c r="AA238" s="275" t="s">
        <v>40</v>
      </c>
      <c r="AB238" s="275" t="s">
        <v>41</v>
      </c>
      <c r="AC238" s="264"/>
      <c r="AD238" s="253" t="s">
        <v>38</v>
      </c>
      <c r="AE238" s="253" t="s">
        <v>35</v>
      </c>
      <c r="AF238" s="253" t="s">
        <v>39</v>
      </c>
      <c r="AG238" s="275" t="s">
        <v>34</v>
      </c>
      <c r="AH238" s="275" t="s">
        <v>36</v>
      </c>
      <c r="AI238" s="275" t="s">
        <v>40</v>
      </c>
      <c r="AJ238" s="275" t="s">
        <v>41</v>
      </c>
      <c r="AK238" s="264"/>
      <c r="AL238" s="253" t="s">
        <v>38</v>
      </c>
      <c r="AM238" s="276" t="s">
        <v>35</v>
      </c>
      <c r="AN238" s="276" t="s">
        <v>39</v>
      </c>
      <c r="AO238" s="275" t="s">
        <v>34</v>
      </c>
      <c r="AP238" s="275" t="s">
        <v>36</v>
      </c>
      <c r="AQ238" s="275" t="s">
        <v>40</v>
      </c>
      <c r="AR238" s="275" t="s">
        <v>41</v>
      </c>
    </row>
    <row r="239" spans="1:44" ht="30" customHeight="1">
      <c r="A239" s="513"/>
      <c r="B239" s="557"/>
      <c r="C239" s="560"/>
      <c r="D239" s="567"/>
      <c r="E239" s="63" t="s">
        <v>895</v>
      </c>
      <c r="F239" s="40" t="s">
        <v>940</v>
      </c>
      <c r="G239" s="38" t="s">
        <v>941</v>
      </c>
      <c r="H239" s="62" t="s">
        <v>669</v>
      </c>
      <c r="I239" s="89" t="s">
        <v>833</v>
      </c>
      <c r="J239" s="40" t="s">
        <v>942</v>
      </c>
      <c r="K239" s="62" t="s">
        <v>943</v>
      </c>
      <c r="L239" s="46" t="s">
        <v>1675</v>
      </c>
      <c r="M239" s="452" t="s">
        <v>1735</v>
      </c>
      <c r="N239" s="86" t="s">
        <v>944</v>
      </c>
      <c r="O239" s="408"/>
      <c r="P239" s="425"/>
      <c r="Q239" s="420" t="s">
        <v>48</v>
      </c>
      <c r="R239" s="102"/>
      <c r="V239" s="283" t="s">
        <v>577</v>
      </c>
      <c r="W239" s="256">
        <f t="shared" ref="W239:AB239" si="216">COUNTIF($E238:$N238,W238)</f>
        <v>7</v>
      </c>
      <c r="X239" s="256">
        <f t="shared" si="216"/>
        <v>0</v>
      </c>
      <c r="Y239" s="256">
        <f t="shared" si="216"/>
        <v>3</v>
      </c>
      <c r="Z239" s="256">
        <f t="shared" si="216"/>
        <v>0</v>
      </c>
      <c r="AA239" s="256">
        <f t="shared" si="216"/>
        <v>0</v>
      </c>
      <c r="AB239" s="256">
        <f t="shared" si="216"/>
        <v>0</v>
      </c>
      <c r="AC239" s="264"/>
      <c r="AD239" s="283" t="s">
        <v>577</v>
      </c>
      <c r="AE239" s="256" t="e">
        <f ca="1">colorcount($E239:$N239,$S$3)+colorcount($E239:$N239,$S$4)+colorcount($E239:$N239,$S$5)+colorcount($E239:$N239,$S$6)+colorcount($E239:$N239,$S$7)+colorcount($E239:$N239,$S$9)+colorcount($E239:$N239,$S$10)+colorcount($E239:$N239,$S$11)+colorcount($E239:$N239,$S$12)</f>
        <v>#NAME?</v>
      </c>
      <c r="AF239" s="256" t="e">
        <f ca="1">colorcount($E239:$N239,$S$15)</f>
        <v>#NAME?</v>
      </c>
      <c r="AG239" s="256" t="e">
        <f ca="1">colorcount($E239:$N239,$S$17)+colorcount($E239:$N239,$S$18)+colorcount($E239:$N239,$S$19)+colorcount($E239:$N239,$S$20)+colorcount($E239:$N239,$S$21)</f>
        <v>#NAME?</v>
      </c>
      <c r="AH239" s="256" t="e">
        <f ca="1">colorcount($E239:$N239,$S$23)</f>
        <v>#NAME?</v>
      </c>
      <c r="AI239" s="256" t="e">
        <f ca="1">colorcount($E239:$N239,$S$26)</f>
        <v>#NAME?</v>
      </c>
      <c r="AJ239" s="256" t="e">
        <f ca="1">colorcount($E239:$N239,$S$28)</f>
        <v>#NAME?</v>
      </c>
      <c r="AK239" s="264"/>
      <c r="AL239" s="283" t="s">
        <v>577</v>
      </c>
      <c r="AM239" s="277" t="e">
        <f t="shared" ref="AM239:AR239" ca="1" si="217">IF(W239=AE239,"O","X")</f>
        <v>#NAME?</v>
      </c>
      <c r="AN239" s="277" t="e">
        <f t="shared" ca="1" si="217"/>
        <v>#NAME?</v>
      </c>
      <c r="AO239" s="277" t="e">
        <f t="shared" ca="1" si="217"/>
        <v>#NAME?</v>
      </c>
      <c r="AP239" s="277" t="e">
        <f t="shared" ca="1" si="217"/>
        <v>#NAME?</v>
      </c>
      <c r="AQ239" s="277" t="e">
        <f t="shared" ca="1" si="217"/>
        <v>#NAME?</v>
      </c>
      <c r="AR239" s="277" t="e">
        <f t="shared" ca="1" si="217"/>
        <v>#NAME?</v>
      </c>
    </row>
    <row r="240" spans="1:44" ht="14.1" customHeight="1">
      <c r="A240" s="513" t="s">
        <v>945</v>
      </c>
      <c r="B240" s="557" t="s">
        <v>946</v>
      </c>
      <c r="C240" s="560"/>
      <c r="D240" s="567"/>
      <c r="E240" s="363" t="s">
        <v>35</v>
      </c>
      <c r="F240" s="215" t="s">
        <v>34</v>
      </c>
      <c r="G240" s="215" t="s">
        <v>34</v>
      </c>
      <c r="H240" s="215" t="s">
        <v>35</v>
      </c>
      <c r="I240" s="215" t="s">
        <v>35</v>
      </c>
      <c r="J240" s="215" t="s">
        <v>34</v>
      </c>
      <c r="K240" s="215" t="s">
        <v>35</v>
      </c>
      <c r="L240" s="215" t="s">
        <v>35</v>
      </c>
      <c r="M240" s="215" t="s">
        <v>35</v>
      </c>
      <c r="N240" s="241" t="s">
        <v>35</v>
      </c>
      <c r="O240" s="352"/>
      <c r="P240" s="147"/>
      <c r="Q240" s="158"/>
      <c r="R240" s="102"/>
      <c r="V240" s="253" t="s">
        <v>38</v>
      </c>
      <c r="W240" s="253" t="s">
        <v>35</v>
      </c>
      <c r="X240" s="253" t="s">
        <v>39</v>
      </c>
      <c r="Y240" s="275" t="s">
        <v>34</v>
      </c>
      <c r="Z240" s="275" t="s">
        <v>36</v>
      </c>
      <c r="AA240" s="275" t="s">
        <v>40</v>
      </c>
      <c r="AB240" s="275" t="s">
        <v>41</v>
      </c>
      <c r="AC240" s="264"/>
      <c r="AD240" s="253" t="s">
        <v>38</v>
      </c>
      <c r="AE240" s="253" t="s">
        <v>35</v>
      </c>
      <c r="AF240" s="253" t="s">
        <v>39</v>
      </c>
      <c r="AG240" s="275" t="s">
        <v>34</v>
      </c>
      <c r="AH240" s="275" t="s">
        <v>36</v>
      </c>
      <c r="AI240" s="275" t="s">
        <v>40</v>
      </c>
      <c r="AJ240" s="275" t="s">
        <v>41</v>
      </c>
      <c r="AK240" s="264"/>
      <c r="AL240" s="253" t="s">
        <v>38</v>
      </c>
      <c r="AM240" s="276" t="s">
        <v>35</v>
      </c>
      <c r="AN240" s="276" t="s">
        <v>39</v>
      </c>
      <c r="AO240" s="275" t="s">
        <v>34</v>
      </c>
      <c r="AP240" s="275" t="s">
        <v>36</v>
      </c>
      <c r="AQ240" s="275" t="s">
        <v>40</v>
      </c>
      <c r="AR240" s="275" t="s">
        <v>41</v>
      </c>
    </row>
    <row r="241" spans="1:44" ht="30" customHeight="1">
      <c r="A241" s="513"/>
      <c r="B241" s="557"/>
      <c r="C241" s="560"/>
      <c r="D241" s="567"/>
      <c r="E241" s="51" t="s">
        <v>1785</v>
      </c>
      <c r="F241" s="58" t="s">
        <v>675</v>
      </c>
      <c r="G241" s="62" t="s">
        <v>1501</v>
      </c>
      <c r="H241" s="38" t="s">
        <v>947</v>
      </c>
      <c r="I241" s="66" t="s">
        <v>301</v>
      </c>
      <c r="J241" s="62" t="s">
        <v>948</v>
      </c>
      <c r="K241" s="38" t="s">
        <v>949</v>
      </c>
      <c r="L241" s="38" t="s">
        <v>950</v>
      </c>
      <c r="M241" s="38" t="s">
        <v>951</v>
      </c>
      <c r="N241" s="77" t="s">
        <v>952</v>
      </c>
      <c r="O241" s="408"/>
      <c r="P241" s="425"/>
      <c r="Q241" s="420" t="s">
        <v>48</v>
      </c>
      <c r="R241" s="102"/>
      <c r="V241" s="284" t="s">
        <v>946</v>
      </c>
      <c r="W241" s="256">
        <f t="shared" ref="W241:AB241" si="218">COUNTIF($E240:$N240,W240)</f>
        <v>7</v>
      </c>
      <c r="X241" s="256">
        <f t="shared" si="218"/>
        <v>0</v>
      </c>
      <c r="Y241" s="256">
        <f t="shared" si="218"/>
        <v>3</v>
      </c>
      <c r="Z241" s="256">
        <f t="shared" si="218"/>
        <v>0</v>
      </c>
      <c r="AA241" s="256">
        <f t="shared" si="218"/>
        <v>0</v>
      </c>
      <c r="AB241" s="256">
        <f t="shared" si="218"/>
        <v>0</v>
      </c>
      <c r="AC241" s="264"/>
      <c r="AD241" s="284" t="s">
        <v>946</v>
      </c>
      <c r="AE241" s="256" t="e">
        <f ca="1">colorcount($F241:$N241,$S$3)+colorcount($F241:$N241,$S$4)+colorcount($F241:$N241,$S$5)+colorcount($F241:$N241,$S$6)+colorcount($F241:$N241,$S$7)+colorcount($F241:$N241,$S$9)+colorcount($F241:$N241,$S$10)+colorcount($F241:$N241,$S$11)+colorcount($F241:$N241,$S$12)</f>
        <v>#NAME?</v>
      </c>
      <c r="AF241" s="256" t="e">
        <f ca="1">colorcount($F241:$N241,$S$15)</f>
        <v>#NAME?</v>
      </c>
      <c r="AG241" s="256" t="e">
        <f ca="1">colorcount($F241:$N241,$S$17)+colorcount($F241:$N241,$S$18)+colorcount($F241:$N241,$S$19)+colorcount($F241:$N241,$S$20)+colorcount($F241:$N241,$S$21)</f>
        <v>#NAME?</v>
      </c>
      <c r="AH241" s="256" t="e">
        <f ca="1">colorcount($F241:$N241,$S$23)</f>
        <v>#NAME?</v>
      </c>
      <c r="AI241" s="256" t="e">
        <f ca="1">colorcount($F241:$N241,$S$26)</f>
        <v>#NAME?</v>
      </c>
      <c r="AJ241" s="256" t="e">
        <f ca="1">colorcount($F241:$N241,$S$28)</f>
        <v>#NAME?</v>
      </c>
      <c r="AK241" s="264"/>
      <c r="AL241" s="284" t="s">
        <v>946</v>
      </c>
      <c r="AM241" s="277" t="e">
        <f t="shared" ref="AM241:AR241" ca="1" si="219">IF(W241=AE241,"O","X")</f>
        <v>#NAME?</v>
      </c>
      <c r="AN241" s="277" t="e">
        <f t="shared" ca="1" si="219"/>
        <v>#NAME?</v>
      </c>
      <c r="AO241" s="277" t="e">
        <f t="shared" ca="1" si="219"/>
        <v>#NAME?</v>
      </c>
      <c r="AP241" s="277" t="e">
        <f t="shared" ca="1" si="219"/>
        <v>#NAME?</v>
      </c>
      <c r="AQ241" s="277" t="e">
        <f t="shared" ca="1" si="219"/>
        <v>#NAME?</v>
      </c>
      <c r="AR241" s="277" t="e">
        <f t="shared" ca="1" si="219"/>
        <v>#NAME?</v>
      </c>
    </row>
    <row r="242" spans="1:44" ht="14.1" customHeight="1">
      <c r="A242" s="513" t="s">
        <v>953</v>
      </c>
      <c r="B242" s="557" t="s">
        <v>70</v>
      </c>
      <c r="C242" s="560"/>
      <c r="D242" s="567"/>
      <c r="E242" s="363" t="s">
        <v>34</v>
      </c>
      <c r="F242" s="215" t="s">
        <v>35</v>
      </c>
      <c r="G242" s="215" t="s">
        <v>35</v>
      </c>
      <c r="H242" s="215" t="s">
        <v>34</v>
      </c>
      <c r="I242" s="215" t="s">
        <v>39</v>
      </c>
      <c r="J242" s="215" t="s">
        <v>35</v>
      </c>
      <c r="K242" s="215" t="s">
        <v>34</v>
      </c>
      <c r="L242" s="215" t="s">
        <v>35</v>
      </c>
      <c r="M242" s="215" t="s">
        <v>35</v>
      </c>
      <c r="N242" s="241" t="s">
        <v>35</v>
      </c>
      <c r="O242" s="352"/>
      <c r="P242" s="147"/>
      <c r="Q242" s="158"/>
      <c r="R242" s="102"/>
      <c r="V242" s="253" t="s">
        <v>38</v>
      </c>
      <c r="W242" s="253" t="s">
        <v>35</v>
      </c>
      <c r="X242" s="253" t="s">
        <v>39</v>
      </c>
      <c r="Y242" s="275" t="s">
        <v>34</v>
      </c>
      <c r="Z242" s="275" t="s">
        <v>36</v>
      </c>
      <c r="AA242" s="275" t="s">
        <v>40</v>
      </c>
      <c r="AB242" s="275" t="s">
        <v>41</v>
      </c>
      <c r="AC242" s="264"/>
      <c r="AD242" s="253" t="s">
        <v>38</v>
      </c>
      <c r="AE242" s="253" t="s">
        <v>35</v>
      </c>
      <c r="AF242" s="253" t="s">
        <v>39</v>
      </c>
      <c r="AG242" s="275" t="s">
        <v>34</v>
      </c>
      <c r="AH242" s="275" t="s">
        <v>36</v>
      </c>
      <c r="AI242" s="275" t="s">
        <v>40</v>
      </c>
      <c r="AJ242" s="275" t="s">
        <v>41</v>
      </c>
      <c r="AK242" s="264"/>
      <c r="AL242" s="253" t="s">
        <v>38</v>
      </c>
      <c r="AM242" s="276" t="s">
        <v>35</v>
      </c>
      <c r="AN242" s="276" t="s">
        <v>39</v>
      </c>
      <c r="AO242" s="275" t="s">
        <v>34</v>
      </c>
      <c r="AP242" s="275" t="s">
        <v>36</v>
      </c>
      <c r="AQ242" s="275" t="s">
        <v>40</v>
      </c>
      <c r="AR242" s="275" t="s">
        <v>41</v>
      </c>
    </row>
    <row r="243" spans="1:44" ht="30" customHeight="1">
      <c r="A243" s="513"/>
      <c r="B243" s="557"/>
      <c r="C243" s="560"/>
      <c r="D243" s="567"/>
      <c r="E243" s="64" t="s">
        <v>1097</v>
      </c>
      <c r="F243" s="38" t="s">
        <v>955</v>
      </c>
      <c r="G243" s="38" t="s">
        <v>956</v>
      </c>
      <c r="H243" s="62" t="s">
        <v>674</v>
      </c>
      <c r="I243" s="221" t="s">
        <v>59</v>
      </c>
      <c r="J243" s="46" t="s">
        <v>1694</v>
      </c>
      <c r="K243" s="58" t="s">
        <v>957</v>
      </c>
      <c r="L243" s="46" t="s">
        <v>1689</v>
      </c>
      <c r="M243" s="46" t="s">
        <v>1784</v>
      </c>
      <c r="N243" s="79" t="s">
        <v>958</v>
      </c>
      <c r="O243" s="408"/>
      <c r="P243" s="425"/>
      <c r="Q243" s="420" t="s">
        <v>48</v>
      </c>
      <c r="R243" s="102"/>
      <c r="V243" s="294" t="s">
        <v>70</v>
      </c>
      <c r="W243" s="256">
        <f t="shared" ref="W243:AB243" si="220">COUNTIF($E242:$N242,W242)</f>
        <v>6</v>
      </c>
      <c r="X243" s="256">
        <f t="shared" si="220"/>
        <v>1</v>
      </c>
      <c r="Y243" s="256">
        <f t="shared" si="220"/>
        <v>3</v>
      </c>
      <c r="Z243" s="256">
        <f t="shared" si="220"/>
        <v>0</v>
      </c>
      <c r="AA243" s="256">
        <f t="shared" si="220"/>
        <v>0</v>
      </c>
      <c r="AB243" s="256">
        <f t="shared" si="220"/>
        <v>0</v>
      </c>
      <c r="AC243" s="264"/>
      <c r="AD243" s="294" t="s">
        <v>70</v>
      </c>
      <c r="AE243" s="256" t="e">
        <f ca="1">colorcount($F243:$N243,$S$3)+colorcount($F243:$N243,$S$4)+colorcount($F243:$N243,$S$5)+colorcount($F243:$N243,$S$6)+colorcount($F243:$N243,$S$7)+colorcount($F243:$N243,$S$9)+colorcount($F243:$N243,$S$10)+colorcount($F243:$N243,$S$11)+colorcount($F243:$N243,$S$12)</f>
        <v>#NAME?</v>
      </c>
      <c r="AF243" s="256" t="e">
        <f ca="1">colorcount($F243:$N243,$S$15)</f>
        <v>#NAME?</v>
      </c>
      <c r="AG243" s="256" t="e">
        <f ca="1">colorcount($F243:$N243,$S$17)+colorcount($F243:$N243,$S$18)+colorcount($F243:$N243,$S$19)+colorcount($F243:$N243,$S$20)+colorcount($F243:$N243,$S$21)</f>
        <v>#NAME?</v>
      </c>
      <c r="AH243" s="256" t="e">
        <f ca="1">colorcount($F243:$N243,$S$23)</f>
        <v>#NAME?</v>
      </c>
      <c r="AI243" s="256" t="e">
        <f ca="1">colorcount($F243:$N243,$S$26)</f>
        <v>#NAME?</v>
      </c>
      <c r="AJ243" s="256" t="e">
        <f ca="1">colorcount($F243:$N243,$S$28)</f>
        <v>#NAME?</v>
      </c>
      <c r="AK243" s="264"/>
      <c r="AL243" s="294" t="s">
        <v>70</v>
      </c>
      <c r="AM243" s="277" t="e">
        <f t="shared" ref="AM243:AR243" ca="1" si="221">IF(W243=AE243,"O","X")</f>
        <v>#NAME?</v>
      </c>
      <c r="AN243" s="277" t="e">
        <f t="shared" ca="1" si="221"/>
        <v>#NAME?</v>
      </c>
      <c r="AO243" s="277" t="e">
        <f t="shared" ca="1" si="221"/>
        <v>#NAME?</v>
      </c>
      <c r="AP243" s="277" t="e">
        <f t="shared" ca="1" si="221"/>
        <v>#NAME?</v>
      </c>
      <c r="AQ243" s="277" t="e">
        <f t="shared" ca="1" si="221"/>
        <v>#NAME?</v>
      </c>
      <c r="AR243" s="277" t="e">
        <f t="shared" ca="1" si="221"/>
        <v>#NAME?</v>
      </c>
    </row>
    <row r="244" spans="1:44" ht="14.1" customHeight="1">
      <c r="A244" s="513" t="s">
        <v>959</v>
      </c>
      <c r="B244" s="557" t="s">
        <v>960</v>
      </c>
      <c r="C244" s="560"/>
      <c r="D244" s="567"/>
      <c r="E244" s="363" t="s">
        <v>35</v>
      </c>
      <c r="F244" s="218" t="s">
        <v>36</v>
      </c>
      <c r="G244" s="218" t="s">
        <v>36</v>
      </c>
      <c r="H244" s="215" t="s">
        <v>34</v>
      </c>
      <c r="I244" s="218" t="s">
        <v>36</v>
      </c>
      <c r="J244" s="215" t="s">
        <v>35</v>
      </c>
      <c r="K244" s="215" t="s">
        <v>35</v>
      </c>
      <c r="L244" s="218" t="s">
        <v>36</v>
      </c>
      <c r="M244" s="215" t="s">
        <v>35</v>
      </c>
      <c r="N244" s="243" t="s">
        <v>36</v>
      </c>
      <c r="O244" s="415"/>
      <c r="P244" s="147"/>
      <c r="Q244" s="158"/>
      <c r="R244" s="102"/>
      <c r="V244" s="253" t="s">
        <v>38</v>
      </c>
      <c r="W244" s="253" t="s">
        <v>35</v>
      </c>
      <c r="X244" s="253" t="s">
        <v>39</v>
      </c>
      <c r="Y244" s="275" t="s">
        <v>34</v>
      </c>
      <c r="Z244" s="275" t="s">
        <v>36</v>
      </c>
      <c r="AA244" s="275" t="s">
        <v>40</v>
      </c>
      <c r="AB244" s="275" t="s">
        <v>41</v>
      </c>
      <c r="AC244" s="264"/>
      <c r="AD244" s="253" t="s">
        <v>38</v>
      </c>
      <c r="AE244" s="253" t="s">
        <v>35</v>
      </c>
      <c r="AF244" s="253" t="s">
        <v>39</v>
      </c>
      <c r="AG244" s="275" t="s">
        <v>34</v>
      </c>
      <c r="AH244" s="275" t="s">
        <v>36</v>
      </c>
      <c r="AI244" s="275" t="s">
        <v>40</v>
      </c>
      <c r="AJ244" s="275" t="s">
        <v>41</v>
      </c>
      <c r="AK244" s="264"/>
      <c r="AL244" s="253" t="s">
        <v>38</v>
      </c>
      <c r="AM244" s="276" t="s">
        <v>35</v>
      </c>
      <c r="AN244" s="276" t="s">
        <v>39</v>
      </c>
      <c r="AO244" s="275" t="s">
        <v>34</v>
      </c>
      <c r="AP244" s="275" t="s">
        <v>36</v>
      </c>
      <c r="AQ244" s="275" t="s">
        <v>40</v>
      </c>
      <c r="AR244" s="275" t="s">
        <v>41</v>
      </c>
    </row>
    <row r="245" spans="1:44" ht="30" customHeight="1">
      <c r="A245" s="513"/>
      <c r="B245" s="557"/>
      <c r="C245" s="560"/>
      <c r="D245" s="567"/>
      <c r="E245" s="368" t="s">
        <v>115</v>
      </c>
      <c r="F245" s="220" t="s">
        <v>660</v>
      </c>
      <c r="G245" s="220" t="s">
        <v>660</v>
      </c>
      <c r="H245" s="62" t="s">
        <v>1527</v>
      </c>
      <c r="I245" s="220" t="s">
        <v>660</v>
      </c>
      <c r="J245" s="40" t="s">
        <v>961</v>
      </c>
      <c r="K245" s="224" t="s">
        <v>115</v>
      </c>
      <c r="L245" s="287" t="s">
        <v>765</v>
      </c>
      <c r="M245" s="224" t="s">
        <v>115</v>
      </c>
      <c r="N245" s="239" t="s">
        <v>660</v>
      </c>
      <c r="O245" s="416"/>
      <c r="P245" s="425"/>
      <c r="Q245" s="420" t="s">
        <v>48</v>
      </c>
      <c r="R245" s="102"/>
      <c r="V245" s="283" t="s">
        <v>960</v>
      </c>
      <c r="W245" s="256">
        <f t="shared" ref="W245:AB245" si="222">COUNTIF($E244:$N244,W244)</f>
        <v>4</v>
      </c>
      <c r="X245" s="256">
        <f t="shared" si="222"/>
        <v>0</v>
      </c>
      <c r="Y245" s="256">
        <f t="shared" si="222"/>
        <v>1</v>
      </c>
      <c r="Z245" s="256">
        <f t="shared" si="222"/>
        <v>5</v>
      </c>
      <c r="AA245" s="256">
        <f t="shared" si="222"/>
        <v>0</v>
      </c>
      <c r="AB245" s="256">
        <f t="shared" si="222"/>
        <v>0</v>
      </c>
      <c r="AD245" s="283" t="s">
        <v>960</v>
      </c>
      <c r="AE245" s="256" t="e">
        <f ca="1">colorcount($E245:$N245,$S$3)+colorcount($E245:$N245,$S$4)+colorcount($E245:$N245,$S$5)+colorcount($E245:$N245,$S$6)+colorcount($E245:$N245,$S$7)+colorcount($E245:$N245,$S$9)+colorcount($E245:$N245,$S$10)+colorcount($E245:$N245,$S$11)+colorcount($E245:$N245,$S$12)</f>
        <v>#NAME?</v>
      </c>
      <c r="AF245" s="256" t="e">
        <f ca="1">colorcount($E245:$N245,$S$15)</f>
        <v>#NAME?</v>
      </c>
      <c r="AG245" s="256" t="e">
        <f ca="1">colorcount($E245:$N245,$S$17)+colorcount($E245:$N245,$S$18)+colorcount($E245:$N245,$S$19)+colorcount($E245:$N245,$S$20)+colorcount($E245:$N245,$S$21)</f>
        <v>#NAME?</v>
      </c>
      <c r="AH245" s="256" t="e">
        <f ca="1">colorcount($E245:$N245,$S$23)</f>
        <v>#NAME?</v>
      </c>
      <c r="AI245" s="256" t="e">
        <f ca="1">colorcount($E245:$N245,$S$26)</f>
        <v>#NAME?</v>
      </c>
      <c r="AJ245" s="256" t="e">
        <f ca="1">colorcount($E245:$N245,$S$28)</f>
        <v>#NAME?</v>
      </c>
      <c r="AK245" s="264"/>
      <c r="AL245" s="283" t="s">
        <v>960</v>
      </c>
      <c r="AM245" s="277" t="e">
        <f t="shared" ref="AM245:AR245" ca="1" si="223">IF(W245=AE245,"O","X")</f>
        <v>#NAME?</v>
      </c>
      <c r="AN245" s="277" t="e">
        <f t="shared" ca="1" si="223"/>
        <v>#NAME?</v>
      </c>
      <c r="AO245" s="277" t="e">
        <f t="shared" ca="1" si="223"/>
        <v>#NAME?</v>
      </c>
      <c r="AP245" s="277" t="e">
        <f t="shared" ca="1" si="223"/>
        <v>#NAME?</v>
      </c>
      <c r="AQ245" s="277" t="e">
        <f t="shared" ca="1" si="223"/>
        <v>#NAME?</v>
      </c>
      <c r="AR245" s="277" t="e">
        <f t="shared" ca="1" si="223"/>
        <v>#NAME?</v>
      </c>
    </row>
    <row r="246" spans="1:44" ht="14.1" customHeight="1">
      <c r="A246" s="513" t="s">
        <v>962</v>
      </c>
      <c r="B246" s="557" t="s">
        <v>963</v>
      </c>
      <c r="C246" s="560"/>
      <c r="D246" s="567"/>
      <c r="E246" s="363" t="s">
        <v>39</v>
      </c>
      <c r="F246" s="215" t="s">
        <v>35</v>
      </c>
      <c r="G246" s="215" t="s">
        <v>35</v>
      </c>
      <c r="H246" s="215" t="s">
        <v>35</v>
      </c>
      <c r="I246" s="215" t="s">
        <v>35</v>
      </c>
      <c r="J246" s="215" t="s">
        <v>35</v>
      </c>
      <c r="K246" s="215" t="s">
        <v>34</v>
      </c>
      <c r="L246" s="215" t="s">
        <v>35</v>
      </c>
      <c r="M246" s="215" t="s">
        <v>35</v>
      </c>
      <c r="N246" s="241" t="s">
        <v>35</v>
      </c>
      <c r="O246" s="352"/>
      <c r="P246" s="147"/>
      <c r="Q246" s="158"/>
      <c r="R246" s="102"/>
      <c r="V246" s="253" t="s">
        <v>38</v>
      </c>
      <c r="W246" s="253" t="s">
        <v>35</v>
      </c>
      <c r="X246" s="253" t="s">
        <v>39</v>
      </c>
      <c r="Y246" s="275" t="s">
        <v>34</v>
      </c>
      <c r="Z246" s="275" t="s">
        <v>36</v>
      </c>
      <c r="AA246" s="275" t="s">
        <v>40</v>
      </c>
      <c r="AB246" s="275" t="s">
        <v>41</v>
      </c>
      <c r="AC246" s="264"/>
      <c r="AD246" s="253" t="s">
        <v>38</v>
      </c>
      <c r="AE246" s="253" t="s">
        <v>35</v>
      </c>
      <c r="AF246" s="253" t="s">
        <v>39</v>
      </c>
      <c r="AG246" s="275" t="s">
        <v>34</v>
      </c>
      <c r="AH246" s="275" t="s">
        <v>36</v>
      </c>
      <c r="AI246" s="275" t="s">
        <v>40</v>
      </c>
      <c r="AJ246" s="275" t="s">
        <v>41</v>
      </c>
      <c r="AK246" s="264"/>
      <c r="AL246" s="253" t="s">
        <v>38</v>
      </c>
      <c r="AM246" s="276" t="s">
        <v>35</v>
      </c>
      <c r="AN246" s="276" t="s">
        <v>39</v>
      </c>
      <c r="AO246" s="275" t="s">
        <v>34</v>
      </c>
      <c r="AP246" s="275" t="s">
        <v>36</v>
      </c>
      <c r="AQ246" s="275" t="s">
        <v>40</v>
      </c>
      <c r="AR246" s="275" t="s">
        <v>41</v>
      </c>
    </row>
    <row r="247" spans="1:44" ht="30" customHeight="1">
      <c r="A247" s="513"/>
      <c r="B247" s="557"/>
      <c r="C247" s="560"/>
      <c r="D247" s="567"/>
      <c r="E247" s="369" t="s">
        <v>235</v>
      </c>
      <c r="F247" s="38" t="s">
        <v>964</v>
      </c>
      <c r="G247" s="40" t="s">
        <v>965</v>
      </c>
      <c r="H247" s="38" t="s">
        <v>966</v>
      </c>
      <c r="I247" s="40" t="s">
        <v>887</v>
      </c>
      <c r="J247" s="38" t="s">
        <v>967</v>
      </c>
      <c r="K247" s="62" t="s">
        <v>1501</v>
      </c>
      <c r="L247" s="38" t="s">
        <v>947</v>
      </c>
      <c r="M247" s="38" t="s">
        <v>968</v>
      </c>
      <c r="N247" s="77" t="s">
        <v>969</v>
      </c>
      <c r="O247" s="408"/>
      <c r="P247" s="425"/>
      <c r="Q247" s="420" t="s">
        <v>48</v>
      </c>
      <c r="R247" s="102"/>
      <c r="V247" s="255" t="s">
        <v>963</v>
      </c>
      <c r="W247" s="256">
        <f t="shared" ref="W247:AB247" si="224">COUNTIF($E246:$N246,W246)</f>
        <v>8</v>
      </c>
      <c r="X247" s="256">
        <f t="shared" si="224"/>
        <v>1</v>
      </c>
      <c r="Y247" s="256">
        <f t="shared" si="224"/>
        <v>1</v>
      </c>
      <c r="Z247" s="256">
        <f t="shared" si="224"/>
        <v>0</v>
      </c>
      <c r="AA247" s="256">
        <f t="shared" si="224"/>
        <v>0</v>
      </c>
      <c r="AB247" s="256">
        <f t="shared" si="224"/>
        <v>0</v>
      </c>
      <c r="AC247" s="264"/>
      <c r="AD247" s="255" t="s">
        <v>963</v>
      </c>
      <c r="AE247" s="256" t="e">
        <f ca="1">colorcount($E247:$N247,$S$3)+colorcount($E247:$N247,$S$4)+colorcount($E247:$N247,$S$5)+colorcount($E247:$N247,$S$6)+colorcount($E247:$N247,$S$7)+colorcount($E247:$N247,$S$9)+colorcount($E247:$N247,$S$10)+colorcount($E247:$N247,$S$11)+colorcount($E247:$N247,$S$12)</f>
        <v>#NAME?</v>
      </c>
      <c r="AF247" s="256" t="e">
        <f ca="1">colorcount($E247:$N247,$S$15)</f>
        <v>#NAME?</v>
      </c>
      <c r="AG247" s="256" t="e">
        <f ca="1">colorcount($E247:$N247,$S$17)+colorcount($E247:$N247,$S$18)+colorcount($E247:$N247,$S$19)+colorcount($E247:$N247,$S$20)+colorcount($E247:$N247,$S$21)</f>
        <v>#NAME?</v>
      </c>
      <c r="AH247" s="256" t="e">
        <f ca="1">colorcount($E247:$N247,$S$23)</f>
        <v>#NAME?</v>
      </c>
      <c r="AI247" s="256" t="e">
        <f ca="1">colorcount($E247:$N247,$S$26)</f>
        <v>#NAME?</v>
      </c>
      <c r="AJ247" s="256" t="e">
        <f ca="1">colorcount($E247:$N247,$S$28)</f>
        <v>#NAME?</v>
      </c>
      <c r="AK247" s="264"/>
      <c r="AL247" s="255" t="s">
        <v>963</v>
      </c>
      <c r="AM247" s="277" t="e">
        <f t="shared" ref="AM247:AR247" ca="1" si="225">IF(W247=AE247,"O","X")</f>
        <v>#NAME?</v>
      </c>
      <c r="AN247" s="277" t="e">
        <f t="shared" ca="1" si="225"/>
        <v>#NAME?</v>
      </c>
      <c r="AO247" s="277" t="e">
        <f t="shared" ca="1" si="225"/>
        <v>#NAME?</v>
      </c>
      <c r="AP247" s="277" t="e">
        <f t="shared" ca="1" si="225"/>
        <v>#NAME?</v>
      </c>
      <c r="AQ247" s="277" t="e">
        <f t="shared" ca="1" si="225"/>
        <v>#NAME?</v>
      </c>
      <c r="AR247" s="277" t="e">
        <f t="shared" ca="1" si="225"/>
        <v>#NAME?</v>
      </c>
    </row>
    <row r="248" spans="1:44" ht="14.1" customHeight="1">
      <c r="A248" s="513" t="s">
        <v>970</v>
      </c>
      <c r="B248" s="557" t="s">
        <v>63</v>
      </c>
      <c r="C248" s="560"/>
      <c r="D248" s="567"/>
      <c r="E248" s="363" t="s">
        <v>40</v>
      </c>
      <c r="F248" s="215" t="s">
        <v>40</v>
      </c>
      <c r="G248" s="215" t="s">
        <v>35</v>
      </c>
      <c r="H248" s="215" t="s">
        <v>40</v>
      </c>
      <c r="I248" s="215" t="s">
        <v>40</v>
      </c>
      <c r="J248" s="230" t="s">
        <v>40</v>
      </c>
      <c r="K248" s="215" t="s">
        <v>35</v>
      </c>
      <c r="L248" s="215" t="s">
        <v>34</v>
      </c>
      <c r="M248" s="215" t="s">
        <v>35</v>
      </c>
      <c r="N248" s="241" t="s">
        <v>35</v>
      </c>
      <c r="O248" s="413"/>
      <c r="P248" s="147"/>
      <c r="Q248" s="158"/>
      <c r="R248" s="102"/>
      <c r="V248" s="253" t="s">
        <v>38</v>
      </c>
      <c r="W248" s="253" t="s">
        <v>35</v>
      </c>
      <c r="X248" s="253" t="s">
        <v>39</v>
      </c>
      <c r="Y248" s="275" t="s">
        <v>34</v>
      </c>
      <c r="Z248" s="275" t="s">
        <v>36</v>
      </c>
      <c r="AA248" s="275" t="s">
        <v>40</v>
      </c>
      <c r="AB248" s="275" t="s">
        <v>41</v>
      </c>
      <c r="AC248" s="264"/>
      <c r="AD248" s="253" t="s">
        <v>38</v>
      </c>
      <c r="AE248" s="253" t="s">
        <v>35</v>
      </c>
      <c r="AF248" s="253" t="s">
        <v>39</v>
      </c>
      <c r="AG248" s="275" t="s">
        <v>34</v>
      </c>
      <c r="AH248" s="275" t="s">
        <v>36</v>
      </c>
      <c r="AI248" s="275" t="s">
        <v>40</v>
      </c>
      <c r="AJ248" s="275" t="s">
        <v>41</v>
      </c>
      <c r="AK248" s="264"/>
      <c r="AL248" s="253" t="s">
        <v>38</v>
      </c>
      <c r="AM248" s="276" t="s">
        <v>35</v>
      </c>
      <c r="AN248" s="276" t="s">
        <v>39</v>
      </c>
      <c r="AO248" s="275" t="s">
        <v>34</v>
      </c>
      <c r="AP248" s="275" t="s">
        <v>36</v>
      </c>
      <c r="AQ248" s="275" t="s">
        <v>40</v>
      </c>
      <c r="AR248" s="275" t="s">
        <v>41</v>
      </c>
    </row>
    <row r="249" spans="1:44" ht="30" customHeight="1">
      <c r="A249" s="513"/>
      <c r="B249" s="557"/>
      <c r="C249" s="560"/>
      <c r="D249" s="567"/>
      <c r="E249" s="374" t="s">
        <v>248</v>
      </c>
      <c r="F249" s="250" t="s">
        <v>248</v>
      </c>
      <c r="G249" s="40" t="s">
        <v>971</v>
      </c>
      <c r="H249" s="250" t="s">
        <v>972</v>
      </c>
      <c r="I249" s="250" t="s">
        <v>972</v>
      </c>
      <c r="J249" s="250" t="s">
        <v>262</v>
      </c>
      <c r="K249" s="452" t="s">
        <v>1302</v>
      </c>
      <c r="L249" s="62" t="s">
        <v>816</v>
      </c>
      <c r="M249" s="304" t="s">
        <v>973</v>
      </c>
      <c r="N249" s="77" t="s">
        <v>974</v>
      </c>
      <c r="O249" s="408"/>
      <c r="P249" s="425"/>
      <c r="Q249" s="420" t="s">
        <v>48</v>
      </c>
      <c r="R249" s="102"/>
      <c r="V249" s="283" t="s">
        <v>63</v>
      </c>
      <c r="W249" s="256">
        <f t="shared" ref="W249:AB249" si="226">COUNTIF($E248:$N248,W248)</f>
        <v>4</v>
      </c>
      <c r="X249" s="256">
        <f t="shared" si="226"/>
        <v>0</v>
      </c>
      <c r="Y249" s="256">
        <f t="shared" si="226"/>
        <v>1</v>
      </c>
      <c r="Z249" s="256">
        <f t="shared" si="226"/>
        <v>0</v>
      </c>
      <c r="AA249" s="256">
        <f t="shared" si="226"/>
        <v>5</v>
      </c>
      <c r="AB249" s="256">
        <f t="shared" si="226"/>
        <v>0</v>
      </c>
      <c r="AC249" s="264"/>
      <c r="AD249" s="283" t="s">
        <v>63</v>
      </c>
      <c r="AE249" s="256" t="e">
        <f ca="1">colorcount($E249:$N249,$S$3)+colorcount($E249:$N249,$S$4)+colorcount($E249:$N249,$S$5)+colorcount($E249:$N249,$S$6)+colorcount($E249:$N249,$S$7)+colorcount($E249:$N249,$S$9)+colorcount($E249:$N249,$S$10)+colorcount($E249:$N249,$S$11)+colorcount($E249:$N249,$S$12)</f>
        <v>#NAME?</v>
      </c>
      <c r="AF249" s="256" t="e">
        <f ca="1">colorcount($E249:$N249,$S$15)</f>
        <v>#NAME?</v>
      </c>
      <c r="AG249" s="256" t="e">
        <f ca="1">colorcount($E249:$N249,$S$17)+colorcount($E249:$N249,$S$18)+colorcount($E249:$N249,$S$19)+colorcount($E249:$N249,$S$20)+colorcount($E249:$N249,$S$21)</f>
        <v>#NAME?</v>
      </c>
      <c r="AH249" s="256" t="e">
        <f ca="1">colorcount($E249:$N249,$S$23)</f>
        <v>#NAME?</v>
      </c>
      <c r="AI249" s="256" t="e">
        <f ca="1">colorcount($E249:$N249,$S$26)</f>
        <v>#NAME?</v>
      </c>
      <c r="AJ249" s="256" t="e">
        <f ca="1">colorcount($E249:$N249,$S$28)</f>
        <v>#NAME?</v>
      </c>
      <c r="AK249" s="264"/>
      <c r="AL249" s="283" t="s">
        <v>63</v>
      </c>
      <c r="AM249" s="277" t="e">
        <f t="shared" ref="AM249:AR249" ca="1" si="227">IF(W249=AE249,"O","X")</f>
        <v>#NAME?</v>
      </c>
      <c r="AN249" s="277" t="e">
        <f t="shared" ca="1" si="227"/>
        <v>#NAME?</v>
      </c>
      <c r="AO249" s="277" t="e">
        <f t="shared" ca="1" si="227"/>
        <v>#NAME?</v>
      </c>
      <c r="AP249" s="277" t="e">
        <f t="shared" ca="1" si="227"/>
        <v>#NAME?</v>
      </c>
      <c r="AQ249" s="277" t="e">
        <f t="shared" ca="1" si="227"/>
        <v>#NAME?</v>
      </c>
      <c r="AR249" s="277" t="e">
        <f t="shared" ca="1" si="227"/>
        <v>#NAME?</v>
      </c>
    </row>
    <row r="250" spans="1:44" ht="30" customHeight="1">
      <c r="A250" s="212"/>
      <c r="B250" s="216" t="s">
        <v>1755</v>
      </c>
      <c r="C250" s="213"/>
      <c r="D250" s="360"/>
      <c r="E250" s="149" t="s">
        <v>975</v>
      </c>
      <c r="F250" s="217" t="s">
        <v>48</v>
      </c>
      <c r="G250" s="217" t="s">
        <v>48</v>
      </c>
      <c r="H250" s="38" t="s">
        <v>1743</v>
      </c>
      <c r="I250" s="46" t="s">
        <v>1698</v>
      </c>
      <c r="J250" s="44" t="s">
        <v>976</v>
      </c>
      <c r="K250" s="217" t="s">
        <v>48</v>
      </c>
      <c r="L250" s="217" t="s">
        <v>48</v>
      </c>
      <c r="M250" s="217" t="s">
        <v>48</v>
      </c>
      <c r="N250" s="242" t="s">
        <v>48</v>
      </c>
      <c r="O250" s="408"/>
      <c r="P250" s="147"/>
      <c r="Q250" s="158"/>
      <c r="R250" s="102"/>
      <c r="V250" s="283"/>
      <c r="W250" s="256"/>
      <c r="X250" s="256"/>
      <c r="Y250" s="256"/>
      <c r="Z250" s="256"/>
      <c r="AA250" s="256"/>
      <c r="AB250" s="256"/>
      <c r="AC250" s="264"/>
      <c r="AD250" s="283"/>
      <c r="AE250" s="256"/>
      <c r="AF250" s="256"/>
      <c r="AG250" s="256"/>
      <c r="AH250" s="256"/>
      <c r="AI250" s="256"/>
      <c r="AJ250" s="256"/>
      <c r="AK250" s="264"/>
      <c r="AL250" s="283"/>
      <c r="AM250" s="277"/>
      <c r="AN250" s="277"/>
      <c r="AO250" s="277"/>
      <c r="AP250" s="277"/>
      <c r="AQ250" s="277"/>
      <c r="AR250" s="277"/>
    </row>
    <row r="251" spans="1:44" ht="14.1" customHeight="1">
      <c r="A251" s="513" t="s">
        <v>977</v>
      </c>
      <c r="B251" s="557" t="s">
        <v>193</v>
      </c>
      <c r="C251" s="560"/>
      <c r="D251" s="567"/>
      <c r="E251" s="366" t="s">
        <v>36</v>
      </c>
      <c r="F251" s="215" t="s">
        <v>39</v>
      </c>
      <c r="G251" s="215" t="s">
        <v>34</v>
      </c>
      <c r="H251" s="215" t="s">
        <v>35</v>
      </c>
      <c r="I251" s="215" t="s">
        <v>35</v>
      </c>
      <c r="J251" s="215" t="s">
        <v>34</v>
      </c>
      <c r="K251" s="240" t="s">
        <v>35</v>
      </c>
      <c r="L251" s="289" t="s">
        <v>41</v>
      </c>
      <c r="M251" s="215" t="s">
        <v>35</v>
      </c>
      <c r="N251" s="279" t="s">
        <v>35</v>
      </c>
      <c r="O251" s="352"/>
      <c r="P251" s="147"/>
      <c r="Q251" s="158"/>
      <c r="R251" s="102"/>
      <c r="V251" s="253" t="s">
        <v>38</v>
      </c>
      <c r="W251" s="253" t="s">
        <v>35</v>
      </c>
      <c r="X251" s="253" t="s">
        <v>39</v>
      </c>
      <c r="Y251" s="275" t="s">
        <v>34</v>
      </c>
      <c r="Z251" s="275" t="s">
        <v>36</v>
      </c>
      <c r="AA251" s="275" t="s">
        <v>40</v>
      </c>
      <c r="AB251" s="275" t="s">
        <v>41</v>
      </c>
      <c r="AC251" s="264"/>
      <c r="AD251" s="253" t="s">
        <v>38</v>
      </c>
      <c r="AE251" s="253" t="s">
        <v>35</v>
      </c>
      <c r="AF251" s="253" t="s">
        <v>39</v>
      </c>
      <c r="AG251" s="275" t="s">
        <v>34</v>
      </c>
      <c r="AH251" s="275" t="s">
        <v>36</v>
      </c>
      <c r="AI251" s="275" t="s">
        <v>40</v>
      </c>
      <c r="AJ251" s="275" t="s">
        <v>41</v>
      </c>
      <c r="AK251" s="264"/>
      <c r="AL251" s="253" t="s">
        <v>38</v>
      </c>
      <c r="AM251" s="276" t="s">
        <v>35</v>
      </c>
      <c r="AN251" s="276" t="s">
        <v>39</v>
      </c>
      <c r="AO251" s="275" t="s">
        <v>34</v>
      </c>
      <c r="AP251" s="275" t="s">
        <v>36</v>
      </c>
      <c r="AQ251" s="275" t="s">
        <v>40</v>
      </c>
      <c r="AR251" s="275" t="s">
        <v>41</v>
      </c>
    </row>
    <row r="252" spans="1:44" ht="30" customHeight="1">
      <c r="A252" s="513"/>
      <c r="B252" s="557"/>
      <c r="C252" s="560"/>
      <c r="D252" s="567"/>
      <c r="E252" s="375" t="s">
        <v>765</v>
      </c>
      <c r="F252" s="221" t="s">
        <v>59</v>
      </c>
      <c r="G252" s="62" t="s">
        <v>943</v>
      </c>
      <c r="H252" s="46" t="s">
        <v>1771</v>
      </c>
      <c r="I252" s="38" t="s">
        <v>978</v>
      </c>
      <c r="J252" s="58" t="s">
        <v>802</v>
      </c>
      <c r="K252" s="38" t="s">
        <v>979</v>
      </c>
      <c r="L252" s="228" t="s">
        <v>41</v>
      </c>
      <c r="M252" s="38" t="s">
        <v>980</v>
      </c>
      <c r="N252" s="77" t="s">
        <v>981</v>
      </c>
      <c r="O252" s="408"/>
      <c r="P252" s="425"/>
      <c r="Q252" s="420" t="s">
        <v>48</v>
      </c>
      <c r="R252" s="102"/>
      <c r="V252" s="255" t="s">
        <v>193</v>
      </c>
      <c r="W252" s="256">
        <f>COUNTIF($E251:$N251,W251)</f>
        <v>5</v>
      </c>
      <c r="X252" s="256">
        <f>COUNTIF($E251:$M251,X251)</f>
        <v>1</v>
      </c>
      <c r="Y252" s="256">
        <f>COUNTIF($E251:$M251,Y251)</f>
        <v>2</v>
      </c>
      <c r="Z252" s="256">
        <f>COUNTIF($E251:$M251,Z251)</f>
        <v>1</v>
      </c>
      <c r="AA252" s="256">
        <f>COUNTIF($E251:$M251,AA251)</f>
        <v>0</v>
      </c>
      <c r="AB252" s="256">
        <f>COUNTIF($E251:$M251,AB251)</f>
        <v>1</v>
      </c>
      <c r="AC252" s="264"/>
      <c r="AD252" s="255" t="s">
        <v>193</v>
      </c>
      <c r="AE252" s="256" t="e">
        <f ca="1">colorcount($E252:$N252,$S$3)+colorcount($E252:$N252,$S$4)+colorcount($E252:$N252,$S$5)+colorcount($E252:$N252,$S$6)+colorcount($E252:$N252,$S$7)+colorcount($E252:$N252,$S$9)+colorcount($E252:$N252,$S$10)+colorcount($E252:$N252,$S$11)+colorcount($E252:$N252,$S$12)</f>
        <v>#NAME?</v>
      </c>
      <c r="AF252" s="256" t="e">
        <f ca="1">colorcount($E252:$N252,$S$15)</f>
        <v>#NAME?</v>
      </c>
      <c r="AG252" s="256" t="e">
        <f ca="1">colorcount($E252:$N252,$S$17)+colorcount($E252:$N252,$S$18)+colorcount($E252:$N252,$S$19)+colorcount($E252:$N252,$S$20)+colorcount($E252:$N252,$S$21)</f>
        <v>#NAME?</v>
      </c>
      <c r="AH252" s="256" t="e">
        <f ca="1">colorcount($E252:$N252,$S$23)</f>
        <v>#NAME?</v>
      </c>
      <c r="AI252" s="256" t="e">
        <f ca="1">colorcount($E252:$N252,$S$26)</f>
        <v>#NAME?</v>
      </c>
      <c r="AJ252" s="256" t="e">
        <f ca="1">colorcount($E252:$N252,$S$28)</f>
        <v>#NAME?</v>
      </c>
      <c r="AK252" s="264"/>
      <c r="AL252" s="255" t="s">
        <v>193</v>
      </c>
      <c r="AM252" s="277" t="e">
        <f t="shared" ref="AM252:AR252" ca="1" si="228">IF(W252=AE252,"O","X")</f>
        <v>#NAME?</v>
      </c>
      <c r="AN252" s="277" t="e">
        <f t="shared" ca="1" si="228"/>
        <v>#NAME?</v>
      </c>
      <c r="AO252" s="277" t="e">
        <f t="shared" ca="1" si="228"/>
        <v>#NAME?</v>
      </c>
      <c r="AP252" s="277" t="e">
        <f t="shared" ca="1" si="228"/>
        <v>#NAME?</v>
      </c>
      <c r="AQ252" s="277" t="e">
        <f t="shared" ca="1" si="228"/>
        <v>#NAME?</v>
      </c>
      <c r="AR252" s="277" t="e">
        <f t="shared" ca="1" si="228"/>
        <v>#NAME?</v>
      </c>
    </row>
    <row r="253" spans="1:44" ht="14.1" customHeight="1">
      <c r="A253" s="513" t="s">
        <v>982</v>
      </c>
      <c r="B253" s="557" t="s">
        <v>588</v>
      </c>
      <c r="C253" s="560"/>
      <c r="D253" s="567"/>
      <c r="E253" s="363" t="s">
        <v>34</v>
      </c>
      <c r="F253" s="215" t="s">
        <v>35</v>
      </c>
      <c r="G253" s="215" t="s">
        <v>34</v>
      </c>
      <c r="H253" s="215" t="s">
        <v>35</v>
      </c>
      <c r="I253" s="215" t="s">
        <v>35</v>
      </c>
      <c r="J253" s="215" t="s">
        <v>35</v>
      </c>
      <c r="K253" s="215" t="s">
        <v>34</v>
      </c>
      <c r="L253" s="215" t="s">
        <v>35</v>
      </c>
      <c r="M253" s="240" t="s">
        <v>35</v>
      </c>
      <c r="N253" s="241" t="s">
        <v>35</v>
      </c>
      <c r="O253" s="413"/>
      <c r="P253" s="147"/>
      <c r="Q253" s="158"/>
      <c r="R253" s="102"/>
      <c r="V253" s="253" t="s">
        <v>38</v>
      </c>
      <c r="W253" s="253" t="s">
        <v>35</v>
      </c>
      <c r="X253" s="253" t="s">
        <v>39</v>
      </c>
      <c r="Y253" s="275" t="s">
        <v>34</v>
      </c>
      <c r="Z253" s="275" t="s">
        <v>36</v>
      </c>
      <c r="AA253" s="275" t="s">
        <v>40</v>
      </c>
      <c r="AB253" s="275" t="s">
        <v>41</v>
      </c>
      <c r="AC253" s="264"/>
      <c r="AD253" s="253" t="s">
        <v>38</v>
      </c>
      <c r="AE253" s="253" t="s">
        <v>35</v>
      </c>
      <c r="AF253" s="253" t="s">
        <v>39</v>
      </c>
      <c r="AG253" s="275" t="s">
        <v>34</v>
      </c>
      <c r="AH253" s="275" t="s">
        <v>36</v>
      </c>
      <c r="AI253" s="275" t="s">
        <v>40</v>
      </c>
      <c r="AJ253" s="275" t="s">
        <v>41</v>
      </c>
      <c r="AK253" s="264"/>
      <c r="AL253" s="253" t="s">
        <v>38</v>
      </c>
      <c r="AM253" s="276" t="s">
        <v>35</v>
      </c>
      <c r="AN253" s="276" t="s">
        <v>39</v>
      </c>
      <c r="AO253" s="275" t="s">
        <v>34</v>
      </c>
      <c r="AP253" s="275" t="s">
        <v>36</v>
      </c>
      <c r="AQ253" s="275" t="s">
        <v>40</v>
      </c>
      <c r="AR253" s="275" t="s">
        <v>41</v>
      </c>
    </row>
    <row r="254" spans="1:44" ht="30" customHeight="1" thickBot="1">
      <c r="A254" s="542"/>
      <c r="B254" s="561"/>
      <c r="C254" s="568"/>
      <c r="D254" s="575"/>
      <c r="E254" s="376" t="s">
        <v>983</v>
      </c>
      <c r="F254" s="124" t="s">
        <v>984</v>
      </c>
      <c r="G254" s="297" t="s">
        <v>802</v>
      </c>
      <c r="H254" s="124" t="s">
        <v>985</v>
      </c>
      <c r="I254" s="125" t="s">
        <v>986</v>
      </c>
      <c r="J254" s="151" t="s">
        <v>1775</v>
      </c>
      <c r="K254" s="446" t="s">
        <v>1584</v>
      </c>
      <c r="L254" s="125" t="s">
        <v>987</v>
      </c>
      <c r="M254" s="124" t="s">
        <v>988</v>
      </c>
      <c r="N254" s="159" t="s">
        <v>905</v>
      </c>
      <c r="O254" s="413"/>
      <c r="P254" s="425"/>
      <c r="Q254" s="420" t="s">
        <v>48</v>
      </c>
      <c r="R254" s="102"/>
      <c r="V254" s="283" t="s">
        <v>588</v>
      </c>
      <c r="W254" s="256">
        <f t="shared" ref="W254:AB254" si="229">COUNTIF($E253:$N253,W253)</f>
        <v>7</v>
      </c>
      <c r="X254" s="256">
        <f t="shared" si="229"/>
        <v>0</v>
      </c>
      <c r="Y254" s="256">
        <f t="shared" si="229"/>
        <v>3</v>
      </c>
      <c r="Z254" s="256">
        <f t="shared" si="229"/>
        <v>0</v>
      </c>
      <c r="AA254" s="256">
        <f t="shared" si="229"/>
        <v>0</v>
      </c>
      <c r="AB254" s="256">
        <f t="shared" si="229"/>
        <v>0</v>
      </c>
      <c r="AC254" s="264"/>
      <c r="AD254" s="283" t="s">
        <v>588</v>
      </c>
      <c r="AE254" s="256" t="e">
        <f ca="1">colorcount($E254:$N254,$S$3)+colorcount($E254:$N254,$S$4)+colorcount($E254:$N254,$S$5)+colorcount($E254:$N254,$S$6)+colorcount($E254:$N254,$S$7)+colorcount($E254:$N254,$S$9)+colorcount($E254:$N254,$S$10)+colorcount($E254:$N254,$S$11)+colorcount($E254:$N254,$S$12)</f>
        <v>#NAME?</v>
      </c>
      <c r="AF254" s="256" t="e">
        <f ca="1">colorcount($E254:$N254,$S$15)</f>
        <v>#NAME?</v>
      </c>
      <c r="AG254" s="256" t="e">
        <f ca="1">colorcount($E254:$N254,$S$17)+colorcount($E254:$N254,$S$18)+colorcount($E254:$N254,$S$19)+colorcount($E254:$N254,$S$20)+colorcount($E254:$N254,$S$21)</f>
        <v>#NAME?</v>
      </c>
      <c r="AH254" s="256" t="e">
        <f ca="1">colorcount($E254:$N254,$S$23)</f>
        <v>#NAME?</v>
      </c>
      <c r="AI254" s="256" t="e">
        <f ca="1">colorcount($E254:$N254,$S$26)</f>
        <v>#NAME?</v>
      </c>
      <c r="AJ254" s="256" t="e">
        <f ca="1">colorcount($E254:$N254,$S$28)</f>
        <v>#NAME?</v>
      </c>
      <c r="AK254" s="264"/>
      <c r="AL254" s="283" t="s">
        <v>588</v>
      </c>
      <c r="AM254" s="277" t="e">
        <f t="shared" ref="AM254:AR254" ca="1" si="230">IF(W254=AE254,"O","X")</f>
        <v>#NAME?</v>
      </c>
      <c r="AN254" s="277" t="e">
        <f t="shared" ca="1" si="230"/>
        <v>#NAME?</v>
      </c>
      <c r="AO254" s="277" t="e">
        <f t="shared" ca="1" si="230"/>
        <v>#NAME?</v>
      </c>
      <c r="AP254" s="277" t="e">
        <f t="shared" ca="1" si="230"/>
        <v>#NAME?</v>
      </c>
      <c r="AQ254" s="277" t="e">
        <f t="shared" ca="1" si="230"/>
        <v>#NAME?</v>
      </c>
      <c r="AR254" s="277" t="e">
        <f t="shared" ca="1" si="230"/>
        <v>#NAME?</v>
      </c>
    </row>
    <row r="255" spans="1:44" ht="27" thickBot="1">
      <c r="A255" s="504" t="s">
        <v>989</v>
      </c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6"/>
      <c r="O255" s="306"/>
      <c r="V255" s="312"/>
      <c r="W255" s="312"/>
      <c r="X255" s="312"/>
      <c r="Y255" s="312"/>
      <c r="Z255" s="312"/>
      <c r="AA255" s="312"/>
      <c r="AB255" s="312"/>
      <c r="AD255" s="312"/>
      <c r="AE255" s="312"/>
      <c r="AF255" s="312"/>
      <c r="AG255" s="312"/>
      <c r="AH255" s="312"/>
      <c r="AI255" s="312"/>
      <c r="AJ255" s="312"/>
      <c r="AL255" s="312"/>
      <c r="AP255" s="312"/>
    </row>
    <row r="256" spans="1:44" ht="14.1" customHeight="1">
      <c r="A256" s="543" t="s">
        <v>990</v>
      </c>
      <c r="B256" s="562" t="s">
        <v>991</v>
      </c>
      <c r="C256" s="569"/>
      <c r="D256" s="571"/>
      <c r="E256" s="362" t="s">
        <v>34</v>
      </c>
      <c r="F256" s="214" t="s">
        <v>34</v>
      </c>
      <c r="G256" s="214" t="s">
        <v>35</v>
      </c>
      <c r="H256" s="214" t="s">
        <v>35</v>
      </c>
      <c r="I256" s="214" t="s">
        <v>35</v>
      </c>
      <c r="J256" s="214" t="s">
        <v>34</v>
      </c>
      <c r="K256" s="214" t="s">
        <v>34</v>
      </c>
      <c r="L256" s="214" t="s">
        <v>34</v>
      </c>
      <c r="M256" s="214" t="s">
        <v>35</v>
      </c>
      <c r="N256" s="307" t="s">
        <v>35</v>
      </c>
      <c r="O256" s="308"/>
      <c r="V256" s="253" t="s">
        <v>38</v>
      </c>
      <c r="W256" s="253" t="s">
        <v>35</v>
      </c>
      <c r="X256" s="253" t="s">
        <v>39</v>
      </c>
      <c r="Y256" s="275" t="s">
        <v>34</v>
      </c>
      <c r="Z256" s="275" t="s">
        <v>36</v>
      </c>
      <c r="AA256" s="275" t="s">
        <v>40</v>
      </c>
      <c r="AB256" s="275" t="s">
        <v>41</v>
      </c>
      <c r="AC256" s="264"/>
      <c r="AD256" s="253" t="s">
        <v>38</v>
      </c>
      <c r="AF256" s="253" t="s">
        <v>39</v>
      </c>
      <c r="AG256" s="275" t="s">
        <v>34</v>
      </c>
      <c r="AH256" s="275" t="s">
        <v>36</v>
      </c>
      <c r="AI256" s="275" t="s">
        <v>40</v>
      </c>
      <c r="AJ256" s="275" t="s">
        <v>41</v>
      </c>
      <c r="AK256" s="264"/>
      <c r="AL256" s="253" t="s">
        <v>38</v>
      </c>
      <c r="AM256" s="276" t="s">
        <v>35</v>
      </c>
      <c r="AN256" s="276" t="s">
        <v>39</v>
      </c>
      <c r="AO256" s="275" t="s">
        <v>34</v>
      </c>
      <c r="AP256" s="275" t="s">
        <v>36</v>
      </c>
      <c r="AQ256" s="275" t="s">
        <v>40</v>
      </c>
      <c r="AR256" s="275" t="s">
        <v>41</v>
      </c>
    </row>
    <row r="257" spans="1:44" ht="30" customHeight="1">
      <c r="A257" s="544"/>
      <c r="B257" s="546"/>
      <c r="C257" s="560"/>
      <c r="D257" s="567"/>
      <c r="E257" s="56" t="s">
        <v>57</v>
      </c>
      <c r="F257" s="57" t="s">
        <v>44</v>
      </c>
      <c r="G257" s="46" t="s">
        <v>1776</v>
      </c>
      <c r="H257" s="456" t="s">
        <v>992</v>
      </c>
      <c r="I257" s="38" t="s">
        <v>993</v>
      </c>
      <c r="J257" s="57" t="s">
        <v>167</v>
      </c>
      <c r="K257" s="57" t="s">
        <v>91</v>
      </c>
      <c r="L257" s="57" t="s">
        <v>147</v>
      </c>
      <c r="M257" s="38" t="s">
        <v>994</v>
      </c>
      <c r="N257" s="77" t="s">
        <v>995</v>
      </c>
      <c r="O257" s="309"/>
      <c r="V257" s="255" t="s">
        <v>991</v>
      </c>
      <c r="W257" s="256">
        <f t="shared" ref="W257:AB257" si="231">COUNTIF($E256:$N256,W256)</f>
        <v>5</v>
      </c>
      <c r="X257" s="256">
        <f t="shared" si="231"/>
        <v>0</v>
      </c>
      <c r="Y257" s="256">
        <f t="shared" si="231"/>
        <v>5</v>
      </c>
      <c r="Z257" s="256">
        <f t="shared" si="231"/>
        <v>0</v>
      </c>
      <c r="AA257" s="256">
        <f t="shared" si="231"/>
        <v>0</v>
      </c>
      <c r="AB257" s="256">
        <f t="shared" si="231"/>
        <v>0</v>
      </c>
      <c r="AC257" s="264"/>
      <c r="AD257" s="255" t="s">
        <v>991</v>
      </c>
      <c r="AE257" s="256" t="e">
        <f ca="1">colorcount($E257:$N257,$S$3)+colorcount($E257:$N257,$S$4)+colorcount($E257:$N257,$S$5)+colorcount($E257:$N257,$S$6)+colorcount($E257:$N257,$S$7)+colorcount($E257:$N257,$S$9)+colorcount($E257:$N257,$S$10)+colorcount($E257:$N257,$S$11)+colorcount($E257:$N257,$S$12)</f>
        <v>#NAME?</v>
      </c>
      <c r="AF257" s="256" t="e">
        <f ca="1">colorcount($E257:$N257,$S$15)</f>
        <v>#NAME?</v>
      </c>
      <c r="AG257" s="256" t="e">
        <f ca="1">colorcount($E257:$N257,$S$17)+colorcount($E257:$N257,$S$18)+colorcount($E257:$N257,$S$19)+colorcount($E257:$N257,$S$20)+colorcount($E257:$N257,$S$21)</f>
        <v>#NAME?</v>
      </c>
      <c r="AH257" s="256" t="e">
        <f ca="1">colorcount($E257:$N257,$S$23)</f>
        <v>#NAME?</v>
      </c>
      <c r="AI257" s="256" t="e">
        <f ca="1">colorcount($E257:$N257,$S$26)</f>
        <v>#NAME?</v>
      </c>
      <c r="AJ257" s="256" t="e">
        <f ca="1">colorcount($E257:$N257,$S$28)</f>
        <v>#NAME?</v>
      </c>
      <c r="AK257" s="264"/>
      <c r="AL257" s="255" t="s">
        <v>991</v>
      </c>
      <c r="AM257" s="277" t="e">
        <f t="shared" ref="AM257:AR257" ca="1" si="232">IF(W257=AE257,"O","X")</f>
        <v>#NAME?</v>
      </c>
      <c r="AN257" s="277" t="e">
        <f t="shared" ca="1" si="232"/>
        <v>#NAME?</v>
      </c>
      <c r="AO257" s="277" t="e">
        <f t="shared" ca="1" si="232"/>
        <v>#NAME?</v>
      </c>
      <c r="AP257" s="277" t="e">
        <f t="shared" ca="1" si="232"/>
        <v>#NAME?</v>
      </c>
      <c r="AQ257" s="277" t="e">
        <f t="shared" ca="1" si="232"/>
        <v>#NAME?</v>
      </c>
      <c r="AR257" s="277" t="e">
        <f t="shared" ca="1" si="232"/>
        <v>#NAME?</v>
      </c>
    </row>
    <row r="258" spans="1:44" ht="13.5" customHeight="1">
      <c r="A258" s="544" t="s">
        <v>996</v>
      </c>
      <c r="B258" s="546" t="s">
        <v>997</v>
      </c>
      <c r="C258" s="563"/>
      <c r="D258" s="570"/>
      <c r="E258" s="363" t="s">
        <v>35</v>
      </c>
      <c r="F258" s="215" t="s">
        <v>39</v>
      </c>
      <c r="G258" s="215" t="s">
        <v>34</v>
      </c>
      <c r="H258" s="215" t="s">
        <v>34</v>
      </c>
      <c r="I258" s="215" t="s">
        <v>35</v>
      </c>
      <c r="J258" s="215" t="s">
        <v>35</v>
      </c>
      <c r="K258" s="215" t="s">
        <v>35</v>
      </c>
      <c r="L258" s="215" t="s">
        <v>39</v>
      </c>
      <c r="M258" s="215" t="s">
        <v>35</v>
      </c>
      <c r="N258" s="241" t="s">
        <v>35</v>
      </c>
      <c r="V258" s="253" t="s">
        <v>38</v>
      </c>
      <c r="W258" s="253" t="s">
        <v>35</v>
      </c>
      <c r="X258" s="253" t="s">
        <v>39</v>
      </c>
      <c r="Y258" s="275" t="s">
        <v>34</v>
      </c>
      <c r="Z258" s="275" t="s">
        <v>36</v>
      </c>
      <c r="AA258" s="275" t="s">
        <v>40</v>
      </c>
      <c r="AB258" s="275" t="s">
        <v>41</v>
      </c>
      <c r="AD258" s="253" t="s">
        <v>38</v>
      </c>
      <c r="AE258" s="253" t="s">
        <v>35</v>
      </c>
      <c r="AF258" s="253" t="s">
        <v>39</v>
      </c>
      <c r="AG258" s="275" t="s">
        <v>34</v>
      </c>
      <c r="AH258" s="275" t="s">
        <v>36</v>
      </c>
      <c r="AI258" s="275" t="s">
        <v>40</v>
      </c>
      <c r="AJ258" s="275" t="s">
        <v>41</v>
      </c>
      <c r="AL258" s="253" t="s">
        <v>38</v>
      </c>
      <c r="AM258" s="276" t="s">
        <v>35</v>
      </c>
      <c r="AN258" s="276" t="s">
        <v>39</v>
      </c>
      <c r="AO258" s="275" t="s">
        <v>34</v>
      </c>
      <c r="AP258" s="275" t="s">
        <v>36</v>
      </c>
      <c r="AQ258" s="275" t="s">
        <v>40</v>
      </c>
      <c r="AR258" s="275" t="s">
        <v>41</v>
      </c>
    </row>
    <row r="259" spans="1:44" ht="34.5" customHeight="1">
      <c r="A259" s="544"/>
      <c r="B259" s="546"/>
      <c r="C259" s="563"/>
      <c r="D259" s="570"/>
      <c r="E259" s="68" t="s">
        <v>729</v>
      </c>
      <c r="F259" s="221" t="s">
        <v>235</v>
      </c>
      <c r="G259" s="57" t="s">
        <v>127</v>
      </c>
      <c r="H259" s="57" t="s">
        <v>89</v>
      </c>
      <c r="I259" s="43" t="s">
        <v>161</v>
      </c>
      <c r="J259" s="87" t="s">
        <v>998</v>
      </c>
      <c r="K259" s="456" t="s">
        <v>992</v>
      </c>
      <c r="L259" s="221" t="s">
        <v>58</v>
      </c>
      <c r="M259" s="38" t="s">
        <v>999</v>
      </c>
      <c r="N259" s="77" t="s">
        <v>1000</v>
      </c>
      <c r="V259" s="255" t="s">
        <v>997</v>
      </c>
      <c r="W259" s="256">
        <f t="shared" ref="W259:AB259" si="233">COUNTIF($E258:$N258,W258)</f>
        <v>6</v>
      </c>
      <c r="X259" s="256">
        <f t="shared" si="233"/>
        <v>2</v>
      </c>
      <c r="Y259" s="256">
        <f t="shared" si="233"/>
        <v>2</v>
      </c>
      <c r="Z259" s="256">
        <f t="shared" si="233"/>
        <v>0</v>
      </c>
      <c r="AA259" s="256">
        <f t="shared" si="233"/>
        <v>0</v>
      </c>
      <c r="AB259" s="256">
        <f t="shared" si="233"/>
        <v>0</v>
      </c>
      <c r="AD259" s="255" t="s">
        <v>997</v>
      </c>
      <c r="AE259" s="256" t="e">
        <f ca="1">colorcount($E259:$N259,$S$3)+colorcount($E259:$N259,$S$4)+colorcount($E259:$N259,$S$5)+colorcount($E259:$N259,$S$6)+colorcount($E259:$N259,$S$7)+colorcount($E259:$N259,$S$9)+colorcount($E259:$N259,$S$10)+colorcount($E259:$N259,$S$11)+colorcount($E259:$N259,$S$12)</f>
        <v>#NAME?</v>
      </c>
      <c r="AF259" s="256" t="e">
        <f ca="1">colorcount($F259:$N259,$S$15)</f>
        <v>#NAME?</v>
      </c>
      <c r="AG259" s="256" t="e">
        <f ca="1">colorcount($F259:$N259,$S$17)+colorcount($F259:$N259,$S$18)+colorcount($F259:$N259,$S$19)+colorcount($F259:$N259,$S$20)+colorcount($F259:$N259,$S$21)</f>
        <v>#NAME?</v>
      </c>
      <c r="AH259" s="256" t="e">
        <f ca="1">colorcount($F259:$N259,$S$23)</f>
        <v>#NAME?</v>
      </c>
      <c r="AI259" s="256" t="e">
        <f ca="1">colorcount($F259:$N259,$S$26)</f>
        <v>#NAME?</v>
      </c>
      <c r="AJ259" s="256" t="e">
        <f ca="1">colorcount($F259:$N259,$S$28)</f>
        <v>#NAME?</v>
      </c>
      <c r="AL259" s="255" t="s">
        <v>997</v>
      </c>
      <c r="AM259" s="277" t="e">
        <f t="shared" ref="AM259:AR259" ca="1" si="234">IF(W259=AE259,"O","X")</f>
        <v>#NAME?</v>
      </c>
      <c r="AN259" s="277" t="e">
        <f t="shared" ca="1" si="234"/>
        <v>#NAME?</v>
      </c>
      <c r="AO259" s="277" t="e">
        <f t="shared" ca="1" si="234"/>
        <v>#NAME?</v>
      </c>
      <c r="AP259" s="277" t="e">
        <f t="shared" ca="1" si="234"/>
        <v>#NAME?</v>
      </c>
      <c r="AQ259" s="277" t="e">
        <f t="shared" ca="1" si="234"/>
        <v>#NAME?</v>
      </c>
      <c r="AR259" s="277" t="e">
        <f t="shared" ca="1" si="234"/>
        <v>#NAME?</v>
      </c>
    </row>
    <row r="260" spans="1:44" ht="27" customHeight="1">
      <c r="A260" s="382"/>
      <c r="B260" s="226" t="s">
        <v>185</v>
      </c>
      <c r="C260" s="359"/>
      <c r="D260" s="389"/>
      <c r="E260" s="364" t="s">
        <v>48</v>
      </c>
      <c r="F260" s="217" t="s">
        <v>48</v>
      </c>
      <c r="G260" s="217" t="s">
        <v>48</v>
      </c>
      <c r="H260" s="217" t="s">
        <v>48</v>
      </c>
      <c r="I260" s="217" t="s">
        <v>48</v>
      </c>
      <c r="J260" s="217" t="s">
        <v>48</v>
      </c>
      <c r="K260" s="217" t="s">
        <v>48</v>
      </c>
      <c r="L260" s="46" t="s">
        <v>1704</v>
      </c>
      <c r="M260" s="217" t="s">
        <v>48</v>
      </c>
      <c r="N260" s="242" t="s">
        <v>48</v>
      </c>
      <c r="V260" s="255"/>
      <c r="W260" s="256"/>
      <c r="X260" s="256"/>
      <c r="Y260" s="256"/>
      <c r="Z260" s="256"/>
      <c r="AA260" s="256"/>
      <c r="AB260" s="256"/>
      <c r="AD260" s="255"/>
      <c r="AE260" s="256"/>
      <c r="AF260" s="256"/>
      <c r="AG260" s="256"/>
      <c r="AH260" s="256"/>
      <c r="AI260" s="256"/>
      <c r="AJ260" s="256"/>
      <c r="AL260" s="255"/>
      <c r="AM260" s="277"/>
      <c r="AN260" s="277"/>
      <c r="AO260" s="277"/>
      <c r="AP260" s="277"/>
      <c r="AQ260" s="277"/>
      <c r="AR260" s="277"/>
    </row>
    <row r="261" spans="1:44" ht="14.1" customHeight="1">
      <c r="A261" s="544" t="s">
        <v>1002</v>
      </c>
      <c r="B261" s="546" t="s">
        <v>1003</v>
      </c>
      <c r="C261" s="560"/>
      <c r="D261" s="567"/>
      <c r="E261" s="363" t="s">
        <v>39</v>
      </c>
      <c r="F261" s="215" t="s">
        <v>35</v>
      </c>
      <c r="G261" s="215" t="s">
        <v>39</v>
      </c>
      <c r="H261" s="215" t="s">
        <v>35</v>
      </c>
      <c r="I261" s="215" t="s">
        <v>34</v>
      </c>
      <c r="J261" s="215" t="s">
        <v>34</v>
      </c>
      <c r="K261" s="218" t="s">
        <v>36</v>
      </c>
      <c r="L261" s="215" t="s">
        <v>34</v>
      </c>
      <c r="M261" s="218" t="s">
        <v>36</v>
      </c>
      <c r="N261" s="243" t="s">
        <v>36</v>
      </c>
      <c r="O261" s="335"/>
      <c r="V261" s="253" t="s">
        <v>38</v>
      </c>
      <c r="W261" s="253" t="s">
        <v>35</v>
      </c>
      <c r="X261" s="253" t="s">
        <v>39</v>
      </c>
      <c r="Y261" s="275" t="s">
        <v>34</v>
      </c>
      <c r="Z261" s="275" t="s">
        <v>36</v>
      </c>
      <c r="AA261" s="275" t="s">
        <v>40</v>
      </c>
      <c r="AB261" s="275" t="s">
        <v>41</v>
      </c>
      <c r="AC261" s="264"/>
      <c r="AD261" s="253" t="s">
        <v>38</v>
      </c>
      <c r="AE261" s="253" t="s">
        <v>35</v>
      </c>
      <c r="AF261" s="253" t="s">
        <v>39</v>
      </c>
      <c r="AG261" s="275" t="s">
        <v>34</v>
      </c>
      <c r="AH261" s="275" t="s">
        <v>36</v>
      </c>
      <c r="AI261" s="275" t="s">
        <v>40</v>
      </c>
      <c r="AJ261" s="275" t="s">
        <v>41</v>
      </c>
      <c r="AK261" s="264"/>
      <c r="AL261" s="253" t="s">
        <v>38</v>
      </c>
      <c r="AM261" s="276" t="s">
        <v>35</v>
      </c>
      <c r="AN261" s="276" t="s">
        <v>39</v>
      </c>
      <c r="AO261" s="275" t="s">
        <v>34</v>
      </c>
      <c r="AP261" s="275" t="s">
        <v>36</v>
      </c>
      <c r="AQ261" s="275" t="s">
        <v>40</v>
      </c>
      <c r="AR261" s="275" t="s">
        <v>41</v>
      </c>
    </row>
    <row r="262" spans="1:44" ht="30" customHeight="1">
      <c r="A262" s="544"/>
      <c r="B262" s="546"/>
      <c r="C262" s="560"/>
      <c r="D262" s="567"/>
      <c r="E262" s="369" t="s">
        <v>58</v>
      </c>
      <c r="F262" s="38" t="s">
        <v>1004</v>
      </c>
      <c r="G262" s="221" t="s">
        <v>59</v>
      </c>
      <c r="H262" s="38" t="s">
        <v>1005</v>
      </c>
      <c r="I262" s="57" t="s">
        <v>103</v>
      </c>
      <c r="J262" s="57" t="s">
        <v>79</v>
      </c>
      <c r="K262" s="220" t="s">
        <v>46</v>
      </c>
      <c r="L262" s="57" t="s">
        <v>1756</v>
      </c>
      <c r="M262" s="220" t="s">
        <v>46</v>
      </c>
      <c r="N262" s="239" t="s">
        <v>46</v>
      </c>
      <c r="O262" s="336"/>
      <c r="V262" s="255" t="s">
        <v>1003</v>
      </c>
      <c r="W262" s="256">
        <f t="shared" ref="W262:AB262" si="235">COUNTIF($E261:$N261,W261)</f>
        <v>2</v>
      </c>
      <c r="X262" s="256">
        <f t="shared" si="235"/>
        <v>2</v>
      </c>
      <c r="Y262" s="256">
        <f t="shared" si="235"/>
        <v>3</v>
      </c>
      <c r="Z262" s="256">
        <f t="shared" si="235"/>
        <v>3</v>
      </c>
      <c r="AA262" s="256">
        <f t="shared" si="235"/>
        <v>0</v>
      </c>
      <c r="AB262" s="256">
        <f t="shared" si="235"/>
        <v>0</v>
      </c>
      <c r="AC262" s="264"/>
      <c r="AD262" s="255" t="s">
        <v>1003</v>
      </c>
      <c r="AE262" s="256" t="e">
        <f ca="1">colorcount($E262:$N262,$S$3)+colorcount($E262:$N262,$S$4)+colorcount($E262:$N262,$S$5)+colorcount($E262:$N262,$S$6)+colorcount($E262:$N262,$S$7)+colorcount($E262:$N262,$S$9)+colorcount($E262:$N262,$S$10)+colorcount($E262:$N262,$S$11)+colorcount($E262:$N262,$S$12)</f>
        <v>#NAME?</v>
      </c>
      <c r="AF262" s="256" t="e">
        <f ca="1">colorcount($E262:$N262,$S$15)</f>
        <v>#NAME?</v>
      </c>
      <c r="AG262" s="256" t="e">
        <f ca="1">colorcount($E262:$N262,$S$17)+colorcount($E262:$N262,$S$18)+colorcount($E262:$N262,$S$19)+colorcount($E262:$N262,$S$20)+colorcount($E262:$N262,$S$21)</f>
        <v>#NAME?</v>
      </c>
      <c r="AH262" s="256" t="e">
        <f ca="1">colorcount($E262:$N262,$S$23)</f>
        <v>#NAME?</v>
      </c>
      <c r="AI262" s="256" t="e">
        <f ca="1">colorcount($E262:$N262,$S$26)</f>
        <v>#NAME?</v>
      </c>
      <c r="AJ262" s="256" t="e">
        <f ca="1">colorcount($E262:$N262,$S$28)</f>
        <v>#NAME?</v>
      </c>
      <c r="AK262" s="264"/>
      <c r="AL262" s="255" t="s">
        <v>1003</v>
      </c>
      <c r="AM262" s="277" t="e">
        <f t="shared" ref="AM262:AR262" ca="1" si="236">IF(W262=AE262,"O","X")</f>
        <v>#NAME?</v>
      </c>
      <c r="AN262" s="277" t="e">
        <f t="shared" ca="1" si="236"/>
        <v>#NAME?</v>
      </c>
      <c r="AO262" s="277" t="e">
        <f t="shared" ca="1" si="236"/>
        <v>#NAME?</v>
      </c>
      <c r="AP262" s="277" t="e">
        <f t="shared" ca="1" si="236"/>
        <v>#NAME?</v>
      </c>
      <c r="AQ262" s="277" t="e">
        <f t="shared" ca="1" si="236"/>
        <v>#NAME?</v>
      </c>
      <c r="AR262" s="277" t="e">
        <f t="shared" ca="1" si="236"/>
        <v>#NAME?</v>
      </c>
    </row>
    <row r="263" spans="1:44" ht="30" customHeight="1">
      <c r="A263" s="382"/>
      <c r="B263" s="226" t="s">
        <v>185</v>
      </c>
      <c r="C263" s="296"/>
      <c r="D263" s="361"/>
      <c r="E263" s="364" t="s">
        <v>48</v>
      </c>
      <c r="F263" s="217" t="s">
        <v>48</v>
      </c>
      <c r="G263" s="456" t="s">
        <v>1006</v>
      </c>
      <c r="H263" s="217" t="s">
        <v>48</v>
      </c>
      <c r="I263" s="217" t="s">
        <v>48</v>
      </c>
      <c r="J263" s="217" t="s">
        <v>48</v>
      </c>
      <c r="K263" s="46" t="s">
        <v>1677</v>
      </c>
      <c r="L263" s="217" t="s">
        <v>48</v>
      </c>
      <c r="M263" s="452" t="s">
        <v>1513</v>
      </c>
      <c r="N263" s="82" t="s">
        <v>1716</v>
      </c>
      <c r="O263" s="336"/>
      <c r="V263" s="255"/>
      <c r="W263" s="256"/>
      <c r="X263" s="256"/>
      <c r="Y263" s="256"/>
      <c r="Z263" s="256"/>
      <c r="AA263" s="256"/>
      <c r="AB263" s="256"/>
      <c r="AC263" s="264"/>
      <c r="AD263" s="255"/>
      <c r="AE263" s="256"/>
      <c r="AF263" s="256"/>
      <c r="AG263" s="256"/>
      <c r="AH263" s="256"/>
      <c r="AI263" s="256"/>
      <c r="AJ263" s="256"/>
      <c r="AK263" s="264"/>
      <c r="AL263" s="255"/>
      <c r="AM263" s="277"/>
      <c r="AN263" s="277"/>
      <c r="AO263" s="277"/>
      <c r="AP263" s="277"/>
      <c r="AQ263" s="277"/>
      <c r="AR263" s="277"/>
    </row>
    <row r="264" spans="1:44" ht="14.1" customHeight="1">
      <c r="A264" s="544" t="s">
        <v>1008</v>
      </c>
      <c r="B264" s="546" t="s">
        <v>307</v>
      </c>
      <c r="C264" s="560"/>
      <c r="D264" s="567"/>
      <c r="E264" s="363" t="s">
        <v>34</v>
      </c>
      <c r="F264" s="215" t="s">
        <v>35</v>
      </c>
      <c r="G264" s="215" t="s">
        <v>35</v>
      </c>
      <c r="H264" s="215" t="s">
        <v>35</v>
      </c>
      <c r="I264" s="215" t="s">
        <v>35</v>
      </c>
      <c r="J264" s="215" t="s">
        <v>34</v>
      </c>
      <c r="K264" s="215" t="s">
        <v>35</v>
      </c>
      <c r="L264" s="215" t="s">
        <v>34</v>
      </c>
      <c r="M264" s="215" t="s">
        <v>35</v>
      </c>
      <c r="N264" s="241" t="s">
        <v>35</v>
      </c>
      <c r="O264" s="308"/>
      <c r="V264" s="253" t="s">
        <v>38</v>
      </c>
      <c r="W264" s="253" t="s">
        <v>35</v>
      </c>
      <c r="X264" s="253" t="s">
        <v>39</v>
      </c>
      <c r="Y264" s="275" t="s">
        <v>34</v>
      </c>
      <c r="Z264" s="275" t="s">
        <v>36</v>
      </c>
      <c r="AA264" s="275" t="s">
        <v>40</v>
      </c>
      <c r="AB264" s="275" t="s">
        <v>41</v>
      </c>
      <c r="AC264" s="264"/>
      <c r="AD264" s="253" t="s">
        <v>38</v>
      </c>
      <c r="AE264" s="253" t="s">
        <v>35</v>
      </c>
      <c r="AF264" s="253" t="s">
        <v>39</v>
      </c>
      <c r="AG264" s="275" t="s">
        <v>34</v>
      </c>
      <c r="AH264" s="275" t="s">
        <v>36</v>
      </c>
      <c r="AI264" s="275" t="s">
        <v>40</v>
      </c>
      <c r="AJ264" s="275" t="s">
        <v>41</v>
      </c>
      <c r="AK264" s="264"/>
      <c r="AL264" s="253" t="s">
        <v>38</v>
      </c>
      <c r="AM264" s="276" t="s">
        <v>35</v>
      </c>
      <c r="AN264" s="276" t="s">
        <v>39</v>
      </c>
      <c r="AO264" s="275" t="s">
        <v>34</v>
      </c>
      <c r="AP264" s="275" t="s">
        <v>36</v>
      </c>
      <c r="AQ264" s="275" t="s">
        <v>40</v>
      </c>
      <c r="AR264" s="275" t="s">
        <v>41</v>
      </c>
    </row>
    <row r="265" spans="1:44" ht="30" customHeight="1">
      <c r="A265" s="544"/>
      <c r="B265" s="546"/>
      <c r="C265" s="560"/>
      <c r="D265" s="567"/>
      <c r="E265" s="56" t="s">
        <v>146</v>
      </c>
      <c r="F265" s="38" t="s">
        <v>1009</v>
      </c>
      <c r="G265" s="40" t="s">
        <v>1010</v>
      </c>
      <c r="H265" s="38" t="s">
        <v>1011</v>
      </c>
      <c r="I265" s="40" t="s">
        <v>1012</v>
      </c>
      <c r="J265" s="57" t="s">
        <v>102</v>
      </c>
      <c r="K265" s="38" t="s">
        <v>1013</v>
      </c>
      <c r="L265" s="57" t="s">
        <v>1553</v>
      </c>
      <c r="M265" s="40" t="s">
        <v>492</v>
      </c>
      <c r="N265" s="77" t="s">
        <v>1014</v>
      </c>
      <c r="O265" s="309"/>
      <c r="V265" s="255" t="s">
        <v>307</v>
      </c>
      <c r="W265" s="256">
        <f t="shared" ref="W265:AB265" si="237">COUNTIF($E264:$N264,W264)</f>
        <v>7</v>
      </c>
      <c r="X265" s="256">
        <f t="shared" si="237"/>
        <v>0</v>
      </c>
      <c r="Y265" s="256">
        <f t="shared" si="237"/>
        <v>3</v>
      </c>
      <c r="Z265" s="256">
        <f t="shared" si="237"/>
        <v>0</v>
      </c>
      <c r="AA265" s="256">
        <f t="shared" si="237"/>
        <v>0</v>
      </c>
      <c r="AB265" s="256">
        <f t="shared" si="237"/>
        <v>0</v>
      </c>
      <c r="AC265" s="264"/>
      <c r="AD265" s="255" t="s">
        <v>307</v>
      </c>
      <c r="AE265" s="256" t="e">
        <f ca="1">colorcount($E265:$N265,$S$3)+colorcount($E265:$N265,$S$4)+colorcount($E265:$N265,$S$5)+colorcount($E265:$N265,$S$6)+colorcount($E265:$N265,$S$7)+colorcount($E265:$N265,$S$9)+colorcount($E265:$N265,$S$10)+colorcount($E265:$N265,$S$11)+colorcount($E265:$N265,$S$12)</f>
        <v>#NAME?</v>
      </c>
      <c r="AF265" s="256" t="e">
        <f ca="1">colorcount($E265:$N265,$S$15)</f>
        <v>#NAME?</v>
      </c>
      <c r="AG265" s="256" t="e">
        <f ca="1">colorcount($E265:$N265,$S$17)+colorcount($E265:$N265,$S$18)+colorcount($E265:$N265,$S$19)+colorcount($E265:$N265,$S$20)+colorcount($E265:$N265,$S$21)</f>
        <v>#NAME?</v>
      </c>
      <c r="AH265" s="256" t="e">
        <f ca="1">colorcount($E265:$N265,$S$23)</f>
        <v>#NAME?</v>
      </c>
      <c r="AI265" s="256" t="e">
        <f ca="1">colorcount($E265:$N265,$S$26)</f>
        <v>#NAME?</v>
      </c>
      <c r="AJ265" s="256" t="e">
        <f ca="1">colorcount($E265:$N265,$S$28)</f>
        <v>#NAME?</v>
      </c>
      <c r="AK265" s="264"/>
      <c r="AL265" s="255" t="s">
        <v>307</v>
      </c>
      <c r="AM265" s="277" t="e">
        <f t="shared" ref="AM265:AR265" ca="1" si="238">IF(W265=AE265,"O","X")</f>
        <v>#NAME?</v>
      </c>
      <c r="AN265" s="277" t="e">
        <f t="shared" ca="1" si="238"/>
        <v>#NAME?</v>
      </c>
      <c r="AO265" s="277" t="e">
        <f t="shared" ca="1" si="238"/>
        <v>#NAME?</v>
      </c>
      <c r="AP265" s="277" t="e">
        <f t="shared" ca="1" si="238"/>
        <v>#NAME?</v>
      </c>
      <c r="AQ265" s="277" t="e">
        <f t="shared" ca="1" si="238"/>
        <v>#NAME?</v>
      </c>
      <c r="AR265" s="277" t="e">
        <f t="shared" ca="1" si="238"/>
        <v>#NAME?</v>
      </c>
    </row>
    <row r="266" spans="1:44" ht="14.1" customHeight="1">
      <c r="A266" s="544" t="s">
        <v>1015</v>
      </c>
      <c r="B266" s="546" t="s">
        <v>404</v>
      </c>
      <c r="C266" s="560"/>
      <c r="D266" s="567"/>
      <c r="E266" s="391" t="s">
        <v>41</v>
      </c>
      <c r="F266" s="215" t="s">
        <v>35</v>
      </c>
      <c r="G266" s="215" t="s">
        <v>35</v>
      </c>
      <c r="H266" s="215" t="s">
        <v>34</v>
      </c>
      <c r="I266" s="215" t="s">
        <v>34</v>
      </c>
      <c r="J266" s="215" t="s">
        <v>34</v>
      </c>
      <c r="K266" s="215" t="s">
        <v>35</v>
      </c>
      <c r="L266" s="218" t="s">
        <v>36</v>
      </c>
      <c r="M266" s="215" t="s">
        <v>35</v>
      </c>
      <c r="N266" s="241" t="s">
        <v>35</v>
      </c>
      <c r="O266" s="308"/>
      <c r="V266" s="253" t="s">
        <v>38</v>
      </c>
      <c r="W266" s="253" t="s">
        <v>35</v>
      </c>
      <c r="X266" s="253" t="s">
        <v>39</v>
      </c>
      <c r="Y266" s="275" t="s">
        <v>34</v>
      </c>
      <c r="Z266" s="275" t="s">
        <v>36</v>
      </c>
      <c r="AA266" s="275" t="s">
        <v>40</v>
      </c>
      <c r="AB266" s="275" t="s">
        <v>41</v>
      </c>
      <c r="AC266" s="264"/>
      <c r="AD266" s="253" t="s">
        <v>38</v>
      </c>
      <c r="AE266" s="253" t="s">
        <v>35</v>
      </c>
      <c r="AF266" s="253" t="s">
        <v>39</v>
      </c>
      <c r="AG266" s="275" t="s">
        <v>34</v>
      </c>
      <c r="AH266" s="275" t="s">
        <v>36</v>
      </c>
      <c r="AI266" s="275" t="s">
        <v>40</v>
      </c>
      <c r="AJ266" s="275" t="s">
        <v>41</v>
      </c>
      <c r="AK266" s="264"/>
      <c r="AL266" s="253" t="s">
        <v>38</v>
      </c>
      <c r="AM266" s="276" t="s">
        <v>35</v>
      </c>
      <c r="AN266" s="276" t="s">
        <v>39</v>
      </c>
      <c r="AO266" s="275" t="s">
        <v>34</v>
      </c>
      <c r="AP266" s="275" t="s">
        <v>36</v>
      </c>
      <c r="AQ266" s="275" t="s">
        <v>40</v>
      </c>
      <c r="AR266" s="275" t="s">
        <v>41</v>
      </c>
    </row>
    <row r="267" spans="1:44" ht="30" customHeight="1">
      <c r="A267" s="544"/>
      <c r="B267" s="546"/>
      <c r="C267" s="560"/>
      <c r="D267" s="567"/>
      <c r="E267" s="392" t="s">
        <v>41</v>
      </c>
      <c r="F267" s="38" t="s">
        <v>1016</v>
      </c>
      <c r="G267" s="87" t="s">
        <v>1017</v>
      </c>
      <c r="H267" s="57" t="s">
        <v>1018</v>
      </c>
      <c r="I267" s="57" t="s">
        <v>127</v>
      </c>
      <c r="J267" s="60" t="s">
        <v>55</v>
      </c>
      <c r="K267" s="38" t="s">
        <v>1019</v>
      </c>
      <c r="L267" s="220" t="s">
        <v>46</v>
      </c>
      <c r="M267" s="38" t="s">
        <v>1020</v>
      </c>
      <c r="N267" s="455" t="s">
        <v>506</v>
      </c>
      <c r="O267" s="309"/>
      <c r="V267" s="255" t="s">
        <v>404</v>
      </c>
      <c r="W267" s="256">
        <f t="shared" ref="W267:AB267" si="239">COUNTIF($E266:$N266,W266)</f>
        <v>5</v>
      </c>
      <c r="X267" s="256">
        <f t="shared" si="239"/>
        <v>0</v>
      </c>
      <c r="Y267" s="256">
        <f t="shared" si="239"/>
        <v>3</v>
      </c>
      <c r="Z267" s="256">
        <f t="shared" si="239"/>
        <v>1</v>
      </c>
      <c r="AA267" s="256">
        <f t="shared" si="239"/>
        <v>0</v>
      </c>
      <c r="AB267" s="256">
        <f t="shared" si="239"/>
        <v>1</v>
      </c>
      <c r="AC267" s="264"/>
      <c r="AD267" s="255" t="s">
        <v>404</v>
      </c>
      <c r="AE267" s="256" t="e">
        <f ca="1">colorcount($E267:$N267,$S$3)+colorcount($E267:$N267,$S$4)+colorcount($E267:$N267,$S$5)+colorcount($E267:$N267,$S$6)+colorcount($E267:$N267,$S$7)+colorcount($E267:$N267,$S$9)+colorcount($E267:$N267,$S$10)+colorcount($E267:$N267,$S$11)+colorcount($E267:$N267,$S$12)</f>
        <v>#NAME?</v>
      </c>
      <c r="AF267" s="256" t="e">
        <f ca="1">colorcount($E267:$N267,$S$15)</f>
        <v>#NAME?</v>
      </c>
      <c r="AG267" s="256" t="e">
        <f ca="1">colorcount($E267:$N267,$S$17)+colorcount($E267:$N267,$S$18)+colorcount($E267:$N267,$S$19)+colorcount($E267:$N267,$S$20)+colorcount($E267:$N267,$S$21)</f>
        <v>#NAME?</v>
      </c>
      <c r="AH267" s="256" t="e">
        <f ca="1">colorcount($E267:$N267,$S$23)</f>
        <v>#NAME?</v>
      </c>
      <c r="AI267" s="256" t="e">
        <f ca="1">colorcount($E267:$N267,$S$26)</f>
        <v>#NAME?</v>
      </c>
      <c r="AJ267" s="256" t="e">
        <f ca="1">colorcount($E267:$N267,$S$28)</f>
        <v>#NAME?</v>
      </c>
      <c r="AK267" s="264"/>
      <c r="AL267" s="255" t="s">
        <v>404</v>
      </c>
      <c r="AM267" s="277" t="e">
        <f t="shared" ref="AM267:AR267" ca="1" si="240">IF(W267=AE267,"O","X")</f>
        <v>#NAME?</v>
      </c>
      <c r="AN267" s="277" t="e">
        <f t="shared" ca="1" si="240"/>
        <v>#NAME?</v>
      </c>
      <c r="AO267" s="277" t="e">
        <f t="shared" ca="1" si="240"/>
        <v>#NAME?</v>
      </c>
      <c r="AP267" s="277" t="e">
        <f t="shared" ca="1" si="240"/>
        <v>#NAME?</v>
      </c>
      <c r="AQ267" s="277" t="e">
        <f t="shared" ca="1" si="240"/>
        <v>#NAME?</v>
      </c>
      <c r="AR267" s="277" t="e">
        <f t="shared" ca="1" si="240"/>
        <v>#NAME?</v>
      </c>
    </row>
    <row r="268" spans="1:44" ht="30" customHeight="1">
      <c r="A268" s="382"/>
      <c r="B268" s="357" t="s">
        <v>65</v>
      </c>
      <c r="C268" s="358"/>
      <c r="D268" s="388"/>
      <c r="E268" s="364" t="s">
        <v>48</v>
      </c>
      <c r="F268" s="217" t="s">
        <v>48</v>
      </c>
      <c r="G268" s="217" t="s">
        <v>48</v>
      </c>
      <c r="H268" s="217" t="s">
        <v>48</v>
      </c>
      <c r="I268" s="217" t="s">
        <v>48</v>
      </c>
      <c r="J268" s="217" t="s">
        <v>48</v>
      </c>
      <c r="K268" s="217" t="s">
        <v>48</v>
      </c>
      <c r="L268" s="66" t="s">
        <v>1021</v>
      </c>
      <c r="M268" s="217" t="s">
        <v>48</v>
      </c>
      <c r="N268" s="242" t="s">
        <v>48</v>
      </c>
      <c r="O268" s="309"/>
      <c r="V268" s="255"/>
      <c r="W268" s="256"/>
      <c r="X268" s="256"/>
      <c r="Y268" s="256"/>
      <c r="Z268" s="256"/>
      <c r="AA268" s="256"/>
      <c r="AB268" s="256"/>
      <c r="AC268" s="264"/>
      <c r="AD268" s="255"/>
      <c r="AE268" s="256"/>
      <c r="AF268" s="256"/>
      <c r="AG268" s="256"/>
      <c r="AH268" s="256"/>
      <c r="AI268" s="256"/>
      <c r="AJ268" s="256"/>
      <c r="AK268" s="264"/>
      <c r="AL268" s="255"/>
      <c r="AM268" s="277"/>
      <c r="AN268" s="277"/>
      <c r="AO268" s="277"/>
      <c r="AP268" s="277"/>
      <c r="AQ268" s="277"/>
      <c r="AR268" s="277"/>
    </row>
    <row r="269" spans="1:44" ht="14.1" customHeight="1">
      <c r="A269" s="544" t="s">
        <v>1022</v>
      </c>
      <c r="B269" s="546" t="s">
        <v>1023</v>
      </c>
      <c r="C269" s="563"/>
      <c r="D269" s="570"/>
      <c r="E269" s="363" t="s">
        <v>39</v>
      </c>
      <c r="F269" s="215" t="s">
        <v>35</v>
      </c>
      <c r="G269" s="215" t="s">
        <v>35</v>
      </c>
      <c r="H269" s="215" t="s">
        <v>34</v>
      </c>
      <c r="I269" s="215" t="s">
        <v>34</v>
      </c>
      <c r="J269" s="215" t="s">
        <v>34</v>
      </c>
      <c r="K269" s="215" t="s">
        <v>34</v>
      </c>
      <c r="L269" s="215" t="s">
        <v>39</v>
      </c>
      <c r="M269" s="215" t="s">
        <v>35</v>
      </c>
      <c r="N269" s="241" t="s">
        <v>35</v>
      </c>
      <c r="O269" s="308"/>
      <c r="V269" s="253" t="s">
        <v>38</v>
      </c>
      <c r="W269" s="253" t="s">
        <v>35</v>
      </c>
      <c r="X269" s="253" t="s">
        <v>39</v>
      </c>
      <c r="Y269" s="275" t="s">
        <v>34</v>
      </c>
      <c r="Z269" s="275" t="s">
        <v>36</v>
      </c>
      <c r="AA269" s="275" t="s">
        <v>40</v>
      </c>
      <c r="AB269" s="275" t="s">
        <v>41</v>
      </c>
      <c r="AC269" s="264"/>
      <c r="AD269" s="253" t="s">
        <v>38</v>
      </c>
      <c r="AE269" s="253" t="s">
        <v>35</v>
      </c>
      <c r="AF269" s="253" t="s">
        <v>39</v>
      </c>
      <c r="AG269" s="275" t="s">
        <v>34</v>
      </c>
      <c r="AH269" s="275" t="s">
        <v>36</v>
      </c>
      <c r="AI269" s="275" t="s">
        <v>40</v>
      </c>
      <c r="AJ269" s="275" t="s">
        <v>41</v>
      </c>
      <c r="AK269" s="264"/>
      <c r="AL269" s="253" t="s">
        <v>38</v>
      </c>
      <c r="AM269" s="276" t="s">
        <v>35</v>
      </c>
      <c r="AN269" s="276" t="s">
        <v>39</v>
      </c>
      <c r="AO269" s="275" t="s">
        <v>34</v>
      </c>
      <c r="AP269" s="275" t="s">
        <v>36</v>
      </c>
      <c r="AQ269" s="275" t="s">
        <v>40</v>
      </c>
      <c r="AR269" s="275" t="s">
        <v>41</v>
      </c>
    </row>
    <row r="270" spans="1:44" ht="30" customHeight="1">
      <c r="A270" s="544"/>
      <c r="B270" s="546"/>
      <c r="C270" s="563"/>
      <c r="D270" s="570"/>
      <c r="E270" s="369" t="s">
        <v>58</v>
      </c>
      <c r="F270" s="452" t="s">
        <v>1024</v>
      </c>
      <c r="G270" s="456" t="s">
        <v>1025</v>
      </c>
      <c r="H270" s="57" t="s">
        <v>102</v>
      </c>
      <c r="I270" s="57" t="s">
        <v>42</v>
      </c>
      <c r="J270" s="39" t="s">
        <v>234</v>
      </c>
      <c r="K270" s="402" t="s">
        <v>1206</v>
      </c>
      <c r="L270" s="221" t="s">
        <v>58</v>
      </c>
      <c r="M270" s="452" t="s">
        <v>1026</v>
      </c>
      <c r="N270" s="455" t="s">
        <v>1736</v>
      </c>
      <c r="O270" s="309"/>
      <c r="V270" s="255" t="s">
        <v>1023</v>
      </c>
      <c r="W270" s="256">
        <f t="shared" ref="W270:AB270" si="241">COUNTIF($E269:$N269,W269)</f>
        <v>4</v>
      </c>
      <c r="X270" s="256">
        <f t="shared" si="241"/>
        <v>2</v>
      </c>
      <c r="Y270" s="256">
        <f t="shared" si="241"/>
        <v>4</v>
      </c>
      <c r="Z270" s="256">
        <f t="shared" si="241"/>
        <v>0</v>
      </c>
      <c r="AA270" s="256">
        <f t="shared" si="241"/>
        <v>0</v>
      </c>
      <c r="AB270" s="256">
        <f t="shared" si="241"/>
        <v>0</v>
      </c>
      <c r="AC270" s="264"/>
      <c r="AD270" s="255" t="s">
        <v>1023</v>
      </c>
      <c r="AE270" s="256" t="e">
        <f ca="1">colorcount($E270:$N270,$S$3)+colorcount($E270:$N270,$S$4)+colorcount($E270:$N270,$S$5)+colorcount($E270:$N270,$S$6)+colorcount($E270:$N270,$S$7)+colorcount($E270:$N270,$S$9)+colorcount($E270:$N270,$S$10)+colorcount($E270:$N270,$S$11)+colorcount($E270:$N270,$S$12)</f>
        <v>#NAME?</v>
      </c>
      <c r="AF270" s="256" t="e">
        <f ca="1">colorcount($E270:$N270,$S$15)</f>
        <v>#NAME?</v>
      </c>
      <c r="AG270" s="256" t="e">
        <f ca="1">colorcount($E270:$N270,$S$17)+colorcount($E270:$N270,$S$18)+colorcount($E270:$N270,$S$19)+colorcount($E270:$N270,$S$20)+colorcount($E270:$N270,$S$21)</f>
        <v>#NAME?</v>
      </c>
      <c r="AH270" s="256" t="e">
        <f ca="1">colorcount($E270:$N270,$S$23)</f>
        <v>#NAME?</v>
      </c>
      <c r="AI270" s="256" t="e">
        <f ca="1">colorcount($E270:$N270,$S$26)</f>
        <v>#NAME?</v>
      </c>
      <c r="AJ270" s="256" t="e">
        <f ca="1">colorcount($E270:$N270,$S$28)</f>
        <v>#NAME?</v>
      </c>
      <c r="AK270" s="264"/>
      <c r="AL270" s="255" t="s">
        <v>1023</v>
      </c>
      <c r="AM270" s="277" t="e">
        <f t="shared" ref="AM270:AR270" ca="1" si="242">IF(W270=AE270,"O","X")</f>
        <v>#NAME?</v>
      </c>
      <c r="AN270" s="277" t="e">
        <f t="shared" ca="1" si="242"/>
        <v>#NAME?</v>
      </c>
      <c r="AO270" s="277" t="e">
        <f t="shared" ca="1" si="242"/>
        <v>#NAME?</v>
      </c>
      <c r="AP270" s="277" t="e">
        <f t="shared" ca="1" si="242"/>
        <v>#NAME?</v>
      </c>
      <c r="AQ270" s="277" t="e">
        <f t="shared" ca="1" si="242"/>
        <v>#NAME?</v>
      </c>
      <c r="AR270" s="277" t="e">
        <f t="shared" ca="1" si="242"/>
        <v>#NAME?</v>
      </c>
    </row>
    <row r="271" spans="1:44" ht="14.1" customHeight="1">
      <c r="A271" s="544" t="s">
        <v>1027</v>
      </c>
      <c r="B271" s="546" t="s">
        <v>1028</v>
      </c>
      <c r="C271" s="560"/>
      <c r="D271" s="567"/>
      <c r="E271" s="363" t="s">
        <v>34</v>
      </c>
      <c r="F271" s="215" t="s">
        <v>34</v>
      </c>
      <c r="G271" s="215" t="s">
        <v>34</v>
      </c>
      <c r="H271" s="215" t="s">
        <v>35</v>
      </c>
      <c r="I271" s="215" t="s">
        <v>34</v>
      </c>
      <c r="J271" s="215" t="s">
        <v>35</v>
      </c>
      <c r="K271" s="215" t="s">
        <v>34</v>
      </c>
      <c r="L271" s="215" t="s">
        <v>39</v>
      </c>
      <c r="M271" s="215" t="s">
        <v>35</v>
      </c>
      <c r="N271" s="241" t="s">
        <v>35</v>
      </c>
      <c r="O271" s="308"/>
      <c r="V271" s="253" t="s">
        <v>38</v>
      </c>
      <c r="W271" s="253" t="s">
        <v>35</v>
      </c>
      <c r="X271" s="253" t="s">
        <v>39</v>
      </c>
      <c r="Y271" s="275" t="s">
        <v>34</v>
      </c>
      <c r="Z271" s="275" t="s">
        <v>36</v>
      </c>
      <c r="AA271" s="275" t="s">
        <v>40</v>
      </c>
      <c r="AB271" s="275" t="s">
        <v>41</v>
      </c>
      <c r="AC271" s="264"/>
      <c r="AD271" s="253" t="s">
        <v>38</v>
      </c>
      <c r="AE271" s="253" t="s">
        <v>35</v>
      </c>
      <c r="AF271" s="253" t="s">
        <v>39</v>
      </c>
      <c r="AG271" s="275" t="s">
        <v>34</v>
      </c>
      <c r="AH271" s="275" t="s">
        <v>36</v>
      </c>
      <c r="AI271" s="275" t="s">
        <v>40</v>
      </c>
      <c r="AJ271" s="275" t="s">
        <v>41</v>
      </c>
      <c r="AK271" s="264"/>
      <c r="AL271" s="253" t="s">
        <v>38</v>
      </c>
      <c r="AM271" s="276" t="s">
        <v>35</v>
      </c>
      <c r="AN271" s="276" t="s">
        <v>39</v>
      </c>
      <c r="AO271" s="275" t="s">
        <v>34</v>
      </c>
      <c r="AP271" s="275" t="s">
        <v>36</v>
      </c>
      <c r="AQ271" s="275" t="s">
        <v>40</v>
      </c>
      <c r="AR271" s="275" t="s">
        <v>41</v>
      </c>
    </row>
    <row r="272" spans="1:44" ht="30" customHeight="1" thickBot="1">
      <c r="A272" s="545"/>
      <c r="B272" s="580"/>
      <c r="C272" s="568"/>
      <c r="D272" s="575"/>
      <c r="E272" s="393" t="s">
        <v>56</v>
      </c>
      <c r="F272" s="141" t="s">
        <v>78</v>
      </c>
      <c r="G272" s="141" t="s">
        <v>146</v>
      </c>
      <c r="H272" s="144" t="s">
        <v>291</v>
      </c>
      <c r="I272" s="141" t="s">
        <v>167</v>
      </c>
      <c r="J272" s="124" t="s">
        <v>1029</v>
      </c>
      <c r="K272" s="141" t="s">
        <v>44</v>
      </c>
      <c r="L272" s="337" t="s">
        <v>58</v>
      </c>
      <c r="M272" s="124" t="s">
        <v>1030</v>
      </c>
      <c r="N272" s="471" t="s">
        <v>1701</v>
      </c>
      <c r="O272" s="309"/>
      <c r="V272" s="255" t="s">
        <v>1028</v>
      </c>
      <c r="W272" s="256">
        <f t="shared" ref="W272:AB272" si="243">COUNTIF($E271:$N271,W271)</f>
        <v>4</v>
      </c>
      <c r="X272" s="256">
        <f t="shared" si="243"/>
        <v>1</v>
      </c>
      <c r="Y272" s="256">
        <f t="shared" si="243"/>
        <v>5</v>
      </c>
      <c r="Z272" s="256">
        <f t="shared" si="243"/>
        <v>0</v>
      </c>
      <c r="AA272" s="256">
        <f t="shared" si="243"/>
        <v>0</v>
      </c>
      <c r="AB272" s="256">
        <f t="shared" si="243"/>
        <v>0</v>
      </c>
      <c r="AC272" s="264"/>
      <c r="AD272" s="255" t="s">
        <v>1028</v>
      </c>
      <c r="AE272" s="256" t="e">
        <f ca="1">colorcount($E272:$N272,$S$3)+colorcount($E272:$N272,$S$4)+colorcount($E272:$N272,$S$5)+colorcount($E272:$N272,$S$6)+colorcount($E272:$N272,$S$7)+colorcount($E272:$N272,$S$9)+colorcount($E272:$N272,$S$10)+colorcount($E272:$N272,$S$11)+colorcount($E272:$N272,$S$12)</f>
        <v>#NAME?</v>
      </c>
      <c r="AF272" s="256" t="e">
        <f ca="1">colorcount($E272:$N272,$S$15)</f>
        <v>#NAME?</v>
      </c>
      <c r="AG272" s="256" t="e">
        <f ca="1">colorcount($E272:$N272,$S$17)+colorcount($E272:$N272,$S$18)+colorcount($E272:$N272,$S$19)+colorcount($E272:$N272,$S$20)+colorcount($E272:$N272,$S$21)</f>
        <v>#NAME?</v>
      </c>
      <c r="AH272" s="256" t="e">
        <f ca="1">colorcount($E272:$N272,$S$23)</f>
        <v>#NAME?</v>
      </c>
      <c r="AI272" s="256" t="e">
        <f ca="1">colorcount($E272:$N272,$S$26)</f>
        <v>#NAME?</v>
      </c>
      <c r="AJ272" s="256" t="e">
        <f ca="1">colorcount($E272:$N272,$S$28)</f>
        <v>#NAME?</v>
      </c>
      <c r="AK272" s="264"/>
      <c r="AL272" s="255" t="s">
        <v>1028</v>
      </c>
      <c r="AM272" s="277" t="e">
        <f t="shared" ref="AM272:AR272" ca="1" si="244">IF(W272=AE272,"O","X")</f>
        <v>#NAME?</v>
      </c>
      <c r="AN272" s="277" t="e">
        <f t="shared" ca="1" si="244"/>
        <v>#NAME?</v>
      </c>
      <c r="AO272" s="277" t="e">
        <f t="shared" ca="1" si="244"/>
        <v>#NAME?</v>
      </c>
      <c r="AP272" s="277" t="e">
        <f t="shared" ca="1" si="244"/>
        <v>#NAME?</v>
      </c>
      <c r="AQ272" s="277" t="e">
        <f t="shared" ca="1" si="244"/>
        <v>#NAME?</v>
      </c>
      <c r="AR272" s="277" t="e">
        <f t="shared" ca="1" si="244"/>
        <v>#NAME?</v>
      </c>
    </row>
    <row r="273" spans="1:17" ht="15.75" thickBot="1">
      <c r="A273" s="377"/>
      <c r="B273" s="378"/>
      <c r="C273" s="379"/>
      <c r="D273" s="379"/>
      <c r="E273" s="380"/>
      <c r="F273" s="381"/>
      <c r="G273" s="381"/>
      <c r="H273" s="381"/>
      <c r="I273" s="381"/>
      <c r="J273" s="381"/>
      <c r="K273" s="381"/>
      <c r="L273" s="102"/>
      <c r="M273" s="381"/>
      <c r="N273" s="381"/>
      <c r="O273" s="309"/>
      <c r="P273" s="309"/>
    </row>
    <row r="274" spans="1:17" ht="30" customHeight="1">
      <c r="A274" s="385"/>
      <c r="B274" s="507" t="s">
        <v>768</v>
      </c>
      <c r="C274" s="508"/>
      <c r="D274" s="509"/>
      <c r="E274" s="472" t="s">
        <v>1031</v>
      </c>
      <c r="F274" s="347" t="s">
        <v>1031</v>
      </c>
      <c r="G274" s="383" t="s">
        <v>58</v>
      </c>
      <c r="H274" s="383" t="s">
        <v>58</v>
      </c>
      <c r="I274" s="383" t="s">
        <v>58</v>
      </c>
      <c r="J274" s="347" t="s">
        <v>1031</v>
      </c>
      <c r="K274" s="347" t="s">
        <v>1031</v>
      </c>
      <c r="L274" s="54" t="s">
        <v>1032</v>
      </c>
      <c r="M274" s="54" t="s">
        <v>1033</v>
      </c>
      <c r="N274" s="384" t="s">
        <v>1031</v>
      </c>
      <c r="O274" s="338"/>
    </row>
    <row r="275" spans="1:17" ht="30" customHeight="1">
      <c r="A275" s="385"/>
      <c r="B275" s="510" t="s">
        <v>1034</v>
      </c>
      <c r="C275" s="511"/>
      <c r="D275" s="512"/>
      <c r="E275" s="368" t="s">
        <v>1031</v>
      </c>
      <c r="F275" s="224" t="s">
        <v>1031</v>
      </c>
      <c r="G275" s="221" t="s">
        <v>41</v>
      </c>
      <c r="H275" s="221" t="s">
        <v>41</v>
      </c>
      <c r="I275" s="224" t="s">
        <v>1031</v>
      </c>
      <c r="J275" s="224" t="s">
        <v>1031</v>
      </c>
      <c r="K275" s="224" t="s">
        <v>1031</v>
      </c>
      <c r="L275" s="224" t="s">
        <v>1031</v>
      </c>
      <c r="M275" s="224" t="s">
        <v>1031</v>
      </c>
      <c r="N275" s="246" t="s">
        <v>1031</v>
      </c>
      <c r="O275" s="338"/>
    </row>
    <row r="276" spans="1:17" ht="30" customHeight="1">
      <c r="A276" s="385"/>
      <c r="B276" s="510" t="s">
        <v>1035</v>
      </c>
      <c r="C276" s="511"/>
      <c r="D276" s="512"/>
      <c r="E276" s="368" t="s">
        <v>1031</v>
      </c>
      <c r="F276" s="224" t="s">
        <v>1031</v>
      </c>
      <c r="G276" s="221" t="s">
        <v>41</v>
      </c>
      <c r="H276" s="40" t="s">
        <v>1036</v>
      </c>
      <c r="I276" s="221" t="s">
        <v>41</v>
      </c>
      <c r="J276" s="224" t="s">
        <v>1031</v>
      </c>
      <c r="K276" s="224" t="s">
        <v>1031</v>
      </c>
      <c r="L276" s="224" t="s">
        <v>1031</v>
      </c>
      <c r="M276" s="224" t="s">
        <v>1031</v>
      </c>
      <c r="N276" s="246" t="s">
        <v>1031</v>
      </c>
      <c r="O276" s="338"/>
    </row>
    <row r="277" spans="1:17" ht="30" customHeight="1">
      <c r="A277" s="385"/>
      <c r="B277" s="514" t="s">
        <v>117</v>
      </c>
      <c r="C277" s="515"/>
      <c r="D277" s="516"/>
      <c r="E277" s="367" t="s">
        <v>112</v>
      </c>
      <c r="F277" s="41" t="s">
        <v>864</v>
      </c>
      <c r="G277" s="221" t="s">
        <v>58</v>
      </c>
      <c r="H277" s="38" t="s">
        <v>1037</v>
      </c>
      <c r="I277" s="38" t="s">
        <v>113</v>
      </c>
      <c r="J277" s="221" t="s">
        <v>58</v>
      </c>
      <c r="K277" s="221" t="s">
        <v>58</v>
      </c>
      <c r="L277" s="223" t="s">
        <v>112</v>
      </c>
      <c r="M277" s="224" t="s">
        <v>1038</v>
      </c>
      <c r="N277" s="245" t="s">
        <v>112</v>
      </c>
      <c r="O277" s="338"/>
    </row>
    <row r="278" spans="1:17" ht="30" customHeight="1">
      <c r="A278" s="385"/>
      <c r="B278" s="514" t="s">
        <v>1039</v>
      </c>
      <c r="C278" s="515"/>
      <c r="D278" s="516"/>
      <c r="E278" s="364" t="s">
        <v>48</v>
      </c>
      <c r="F278" s="217" t="s">
        <v>48</v>
      </c>
      <c r="G278" s="217" t="s">
        <v>48</v>
      </c>
      <c r="H278" s="217" t="s">
        <v>48</v>
      </c>
      <c r="I278" s="217" t="s">
        <v>48</v>
      </c>
      <c r="J278" s="217" t="s">
        <v>48</v>
      </c>
      <c r="K278" s="217" t="s">
        <v>48</v>
      </c>
      <c r="L278" s="217" t="s">
        <v>48</v>
      </c>
      <c r="M278" s="217" t="s">
        <v>48</v>
      </c>
      <c r="N278" s="242" t="s">
        <v>48</v>
      </c>
      <c r="O278" s="339"/>
    </row>
    <row r="279" spans="1:17" ht="30" customHeight="1">
      <c r="A279" s="385"/>
      <c r="B279" s="514" t="s">
        <v>1040</v>
      </c>
      <c r="C279" s="515"/>
      <c r="D279" s="516"/>
      <c r="E279" s="368" t="s">
        <v>552</v>
      </c>
      <c r="F279" s="221" t="s">
        <v>58</v>
      </c>
      <c r="G279" s="221" t="s">
        <v>58</v>
      </c>
      <c r="H279" s="221" t="s">
        <v>58</v>
      </c>
      <c r="I279" s="221" t="s">
        <v>58</v>
      </c>
      <c r="J279" s="229" t="s">
        <v>1041</v>
      </c>
      <c r="K279" s="468" t="s">
        <v>1730</v>
      </c>
      <c r="L279" s="131" t="s">
        <v>864</v>
      </c>
      <c r="M279" s="224" t="s">
        <v>554</v>
      </c>
      <c r="N279" s="86" t="s">
        <v>1042</v>
      </c>
      <c r="O279" s="338"/>
    </row>
    <row r="280" spans="1:17" ht="30" hidden="1" customHeight="1">
      <c r="A280" s="385"/>
      <c r="B280" s="510" t="s">
        <v>1043</v>
      </c>
      <c r="C280" s="511"/>
      <c r="D280" s="512"/>
      <c r="E280" s="368" t="s">
        <v>1031</v>
      </c>
      <c r="F280" s="224" t="s">
        <v>1031</v>
      </c>
      <c r="G280" s="221" t="s">
        <v>46</v>
      </c>
      <c r="H280" s="221" t="s">
        <v>46</v>
      </c>
      <c r="I280" s="221" t="s">
        <v>46</v>
      </c>
      <c r="J280" s="224" t="s">
        <v>1031</v>
      </c>
      <c r="K280" s="224" t="s">
        <v>1031</v>
      </c>
      <c r="L280" s="224" t="s">
        <v>1031</v>
      </c>
      <c r="M280" s="224" t="s">
        <v>1031</v>
      </c>
      <c r="N280" s="340" t="s">
        <v>48</v>
      </c>
      <c r="O280" s="338"/>
      <c r="P280" s="341"/>
      <c r="Q280" s="341"/>
    </row>
    <row r="281" spans="1:17" ht="33" customHeight="1" thickBot="1">
      <c r="A281" s="385"/>
      <c r="B281" s="517" t="s">
        <v>784</v>
      </c>
      <c r="C281" s="518"/>
      <c r="D281" s="519"/>
      <c r="E281" s="473" t="s">
        <v>1031</v>
      </c>
      <c r="F281" s="313" t="s">
        <v>1031</v>
      </c>
      <c r="G281" s="313" t="s">
        <v>1031</v>
      </c>
      <c r="H281" s="314" t="s">
        <v>660</v>
      </c>
      <c r="I281" s="314" t="s">
        <v>660</v>
      </c>
      <c r="J281" s="313" t="s">
        <v>1031</v>
      </c>
      <c r="K281" s="305" t="s">
        <v>1044</v>
      </c>
      <c r="L281" s="314" t="s">
        <v>660</v>
      </c>
      <c r="M281" s="313" t="s">
        <v>1031</v>
      </c>
      <c r="N281" s="342" t="s">
        <v>660</v>
      </c>
    </row>
    <row r="282" spans="1:17" ht="16.5" thickBot="1">
      <c r="A282" s="315"/>
      <c r="B282" s="316"/>
      <c r="C282" s="316"/>
      <c r="D282" s="316"/>
      <c r="E282" s="316"/>
      <c r="F282" s="316"/>
      <c r="G282" s="316"/>
      <c r="H282" s="316"/>
      <c r="I282" s="316"/>
      <c r="J282" s="316"/>
      <c r="K282" s="316"/>
      <c r="L282" s="73"/>
      <c r="M282" s="73"/>
      <c r="N282" s="73"/>
    </row>
    <row r="283" spans="1:17" ht="30" hidden="1" customHeight="1">
      <c r="A283" s="315"/>
      <c r="B283" s="317" t="s">
        <v>237</v>
      </c>
      <c r="C283" s="134"/>
      <c r="D283" s="318"/>
      <c r="E283" s="319" t="s">
        <v>783</v>
      </c>
      <c r="F283" s="97" t="s">
        <v>1045</v>
      </c>
      <c r="G283" s="320" t="s">
        <v>783</v>
      </c>
      <c r="H283" s="320" t="s">
        <v>783</v>
      </c>
      <c r="I283" s="320" t="s">
        <v>783</v>
      </c>
      <c r="J283" s="97" t="s">
        <v>1045</v>
      </c>
      <c r="K283" s="97" t="s">
        <v>1045</v>
      </c>
      <c r="L283" s="73"/>
      <c r="M283" s="97" t="s">
        <v>1045</v>
      </c>
      <c r="N283" s="98" t="s">
        <v>1045</v>
      </c>
      <c r="O283" s="309"/>
      <c r="P283" s="343"/>
      <c r="Q283" s="343"/>
    </row>
    <row r="284" spans="1:17" ht="30.95" hidden="1" customHeight="1">
      <c r="A284" s="315"/>
      <c r="B284" s="317" t="s">
        <v>321</v>
      </c>
      <c r="C284" s="134"/>
      <c r="D284" s="318"/>
      <c r="E284" s="321" t="s">
        <v>1045</v>
      </c>
      <c r="F284" s="322" t="s">
        <v>783</v>
      </c>
      <c r="G284" s="323" t="s">
        <v>1045</v>
      </c>
      <c r="H284" s="323" t="s">
        <v>1045</v>
      </c>
      <c r="I284" s="323" t="s">
        <v>1045</v>
      </c>
      <c r="J284" s="322" t="s">
        <v>783</v>
      </c>
      <c r="K284" s="322" t="s">
        <v>783</v>
      </c>
      <c r="L284" s="322" t="s">
        <v>783</v>
      </c>
      <c r="M284" s="322" t="s">
        <v>783</v>
      </c>
      <c r="N284" s="344" t="s">
        <v>783</v>
      </c>
      <c r="O284" s="345"/>
      <c r="P284" s="346"/>
      <c r="Q284" s="346"/>
    </row>
    <row r="285" spans="1:17" ht="27" hidden="1" customHeight="1">
      <c r="A285" s="315"/>
      <c r="B285" s="324" t="s">
        <v>218</v>
      </c>
      <c r="C285" s="134"/>
      <c r="D285" s="318"/>
      <c r="E285" s="319" t="s">
        <v>499</v>
      </c>
      <c r="F285" s="320" t="s">
        <v>72</v>
      </c>
      <c r="G285" s="97" t="s">
        <v>1045</v>
      </c>
      <c r="H285" s="320" t="s">
        <v>959</v>
      </c>
      <c r="I285" s="320" t="s">
        <v>977</v>
      </c>
      <c r="J285" s="320" t="s">
        <v>977</v>
      </c>
      <c r="K285" s="320" t="s">
        <v>977</v>
      </c>
      <c r="L285" s="320" t="s">
        <v>882</v>
      </c>
      <c r="M285" s="347" t="s">
        <v>1046</v>
      </c>
      <c r="N285" s="348" t="s">
        <v>977</v>
      </c>
      <c r="O285" s="345"/>
    </row>
    <row r="286" spans="1:17" ht="30.95" hidden="1" customHeight="1">
      <c r="A286" s="315"/>
      <c r="B286" s="324" t="s">
        <v>387</v>
      </c>
      <c r="C286" s="134"/>
      <c r="D286" s="318"/>
      <c r="E286" s="325" t="s">
        <v>977</v>
      </c>
      <c r="F286" s="326" t="s">
        <v>977</v>
      </c>
      <c r="G286" s="326" t="s">
        <v>977</v>
      </c>
      <c r="H286" s="326" t="s">
        <v>977</v>
      </c>
      <c r="I286" s="41" t="s">
        <v>1045</v>
      </c>
      <c r="J286" s="224" t="s">
        <v>1046</v>
      </c>
      <c r="K286" s="41" t="s">
        <v>1045</v>
      </c>
      <c r="L286" s="326" t="s">
        <v>977</v>
      </c>
      <c r="M286" s="326" t="s">
        <v>977</v>
      </c>
      <c r="N286" s="41" t="s">
        <v>1045</v>
      </c>
      <c r="O286" s="309"/>
    </row>
    <row r="287" spans="1:17" ht="26.1" hidden="1" customHeight="1">
      <c r="A287" s="315"/>
      <c r="B287" s="317" t="s">
        <v>1047</v>
      </c>
      <c r="C287" s="134"/>
      <c r="D287" s="318"/>
      <c r="E287" s="325" t="s">
        <v>1027</v>
      </c>
      <c r="F287" s="326" t="s">
        <v>1027</v>
      </c>
      <c r="G287" s="326" t="s">
        <v>1027</v>
      </c>
      <c r="H287" s="326" t="s">
        <v>1027</v>
      </c>
      <c r="I287" s="326" t="s">
        <v>1027</v>
      </c>
      <c r="J287" s="326" t="s">
        <v>1027</v>
      </c>
      <c r="K287" s="326" t="s">
        <v>1027</v>
      </c>
      <c r="L287" s="41" t="s">
        <v>1045</v>
      </c>
      <c r="M287" s="326" t="s">
        <v>1027</v>
      </c>
      <c r="N287" s="349" t="s">
        <v>1027</v>
      </c>
      <c r="O287" s="345"/>
    </row>
    <row r="288" spans="1:17" ht="27" hidden="1" customHeight="1">
      <c r="A288" s="315"/>
      <c r="B288" s="317" t="s">
        <v>531</v>
      </c>
      <c r="C288" s="134"/>
      <c r="D288" s="318"/>
      <c r="E288" s="69" t="s">
        <v>1045</v>
      </c>
      <c r="F288" s="41" t="s">
        <v>1045</v>
      </c>
      <c r="G288" s="41" t="s">
        <v>1045</v>
      </c>
      <c r="H288" s="134"/>
      <c r="I288" s="41" t="s">
        <v>1045</v>
      </c>
      <c r="J288" s="41" t="s">
        <v>1045</v>
      </c>
      <c r="K288" s="41" t="s">
        <v>1045</v>
      </c>
      <c r="L288" s="326" t="s">
        <v>1027</v>
      </c>
      <c r="M288" s="41" t="s">
        <v>1045</v>
      </c>
      <c r="N288" s="349" t="s">
        <v>990</v>
      </c>
      <c r="O288" s="345"/>
    </row>
    <row r="289" spans="1:15" ht="29.1" hidden="1" customHeight="1">
      <c r="A289" s="315"/>
      <c r="B289" s="324" t="s">
        <v>1048</v>
      </c>
      <c r="C289" s="134"/>
      <c r="D289" s="318"/>
      <c r="E289" s="325" t="s">
        <v>959</v>
      </c>
      <c r="F289" s="326" t="s">
        <v>635</v>
      </c>
      <c r="G289" s="326" t="s">
        <v>357</v>
      </c>
      <c r="H289" s="326" t="s">
        <v>1022</v>
      </c>
      <c r="I289" s="326" t="s">
        <v>413</v>
      </c>
      <c r="J289" s="41" t="s">
        <v>1045</v>
      </c>
      <c r="K289" s="326" t="s">
        <v>771</v>
      </c>
      <c r="L289" s="326" t="s">
        <v>139</v>
      </c>
      <c r="M289" s="326" t="s">
        <v>569</v>
      </c>
      <c r="N289" s="349" t="s">
        <v>771</v>
      </c>
      <c r="O289" s="345"/>
    </row>
    <row r="290" spans="1:15" ht="27.95" hidden="1" customHeight="1">
      <c r="A290" s="315"/>
      <c r="B290" s="327" t="s">
        <v>1049</v>
      </c>
      <c r="C290" s="328"/>
      <c r="D290" s="329"/>
      <c r="E290" s="330" t="s">
        <v>664</v>
      </c>
      <c r="F290" s="322" t="s">
        <v>1022</v>
      </c>
      <c r="G290" s="322" t="s">
        <v>1002</v>
      </c>
      <c r="H290" s="322" t="s">
        <v>771</v>
      </c>
      <c r="I290" s="350" t="s">
        <v>1046</v>
      </c>
      <c r="J290" s="323" t="s">
        <v>1045</v>
      </c>
      <c r="K290" s="322" t="s">
        <v>600</v>
      </c>
      <c r="L290" s="322" t="s">
        <v>771</v>
      </c>
      <c r="M290" s="322" t="s">
        <v>51</v>
      </c>
      <c r="N290" s="344" t="s">
        <v>970</v>
      </c>
      <c r="O290" s="345"/>
    </row>
    <row r="291" spans="1:15" ht="15.75" thickBot="1">
      <c r="A291" s="73"/>
      <c r="B291" s="73"/>
      <c r="C291" s="73"/>
      <c r="D291" s="73"/>
      <c r="E291" s="520" t="s">
        <v>1050</v>
      </c>
      <c r="F291" s="521"/>
      <c r="G291" s="73"/>
      <c r="H291" s="73"/>
      <c r="I291" s="73"/>
      <c r="J291" s="73"/>
      <c r="K291" s="73"/>
      <c r="L291" s="73"/>
      <c r="M291" s="73"/>
      <c r="N291" s="73"/>
    </row>
    <row r="292" spans="1:15" ht="21" customHeight="1" thickBot="1">
      <c r="A292" s="73"/>
      <c r="B292" s="73"/>
      <c r="C292" s="73"/>
      <c r="D292" s="73"/>
      <c r="E292" s="522"/>
      <c r="F292" s="523"/>
      <c r="G292" s="524" t="s">
        <v>1051</v>
      </c>
      <c r="H292" s="525"/>
      <c r="I292" s="73"/>
      <c r="J292" s="73"/>
      <c r="K292" s="73"/>
      <c r="L292" s="73"/>
      <c r="M292" s="73"/>
      <c r="N292" s="73"/>
    </row>
    <row r="293" spans="1:15" ht="21.95" customHeight="1" thickBot="1">
      <c r="A293" s="73"/>
      <c r="B293" s="73"/>
      <c r="C293" s="73"/>
      <c r="D293" s="73"/>
      <c r="E293" s="526"/>
      <c r="F293" s="527"/>
      <c r="G293" s="528" t="s">
        <v>1052</v>
      </c>
      <c r="H293" s="529"/>
      <c r="I293" s="73"/>
      <c r="J293" s="73"/>
      <c r="K293" s="73"/>
      <c r="L293" s="73"/>
      <c r="M293" s="73"/>
      <c r="N293" s="73"/>
    </row>
    <row r="294" spans="1:15" ht="15.75" thickBot="1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</row>
    <row r="295" spans="1:15" ht="29.1" customHeight="1">
      <c r="A295" s="73"/>
      <c r="B295" s="530" t="s">
        <v>786</v>
      </c>
      <c r="C295" s="531"/>
      <c r="D295" s="532"/>
      <c r="E295" s="331" t="s">
        <v>1053</v>
      </c>
      <c r="F295" s="445" t="s">
        <v>864</v>
      </c>
      <c r="G295" s="445" t="s">
        <v>864</v>
      </c>
      <c r="H295" s="332" t="s">
        <v>1054</v>
      </c>
      <c r="I295" s="445" t="s">
        <v>864</v>
      </c>
      <c r="J295" s="201" t="s">
        <v>1055</v>
      </c>
      <c r="K295" s="201" t="s">
        <v>1056</v>
      </c>
      <c r="L295" s="332" t="s">
        <v>1057</v>
      </c>
      <c r="M295" s="198" t="s">
        <v>1761</v>
      </c>
      <c r="N295" s="351" t="s">
        <v>1058</v>
      </c>
    </row>
    <row r="296" spans="1:15" ht="32.1" customHeight="1">
      <c r="A296" s="73"/>
      <c r="B296" s="533" t="s">
        <v>65</v>
      </c>
      <c r="C296" s="534"/>
      <c r="D296" s="535"/>
      <c r="E296" s="51" t="s">
        <v>1762</v>
      </c>
      <c r="F296" s="131" t="s">
        <v>864</v>
      </c>
      <c r="G296" s="44" t="s">
        <v>1510</v>
      </c>
      <c r="H296" s="131" t="s">
        <v>864</v>
      </c>
      <c r="I296" s="44" t="s">
        <v>1059</v>
      </c>
      <c r="J296" s="456" t="s">
        <v>1518</v>
      </c>
      <c r="K296" s="46" t="s">
        <v>1713</v>
      </c>
      <c r="L296" s="66" t="s">
        <v>1021</v>
      </c>
      <c r="M296" s="452" t="s">
        <v>1516</v>
      </c>
      <c r="N296" s="455" t="s">
        <v>1517</v>
      </c>
    </row>
    <row r="297" spans="1:15" ht="27" customHeight="1">
      <c r="A297" s="73"/>
      <c r="B297" s="533" t="s">
        <v>219</v>
      </c>
      <c r="C297" s="534"/>
      <c r="D297" s="535"/>
      <c r="E297" s="149" t="s">
        <v>1511</v>
      </c>
      <c r="F297" s="456" t="s">
        <v>1512</v>
      </c>
      <c r="G297" s="452" t="s">
        <v>1737</v>
      </c>
      <c r="H297" s="131" t="s">
        <v>864</v>
      </c>
      <c r="I297" s="46" t="s">
        <v>1708</v>
      </c>
      <c r="J297" s="456" t="s">
        <v>1060</v>
      </c>
      <c r="K297" s="44" t="s">
        <v>1509</v>
      </c>
      <c r="L297" s="44" t="s">
        <v>1061</v>
      </c>
      <c r="M297" s="42" t="s">
        <v>1062</v>
      </c>
      <c r="N297" s="82" t="s">
        <v>1717</v>
      </c>
    </row>
    <row r="298" spans="1:15" ht="29.1" customHeight="1">
      <c r="A298" s="73"/>
      <c r="B298" s="514" t="s">
        <v>806</v>
      </c>
      <c r="C298" s="515"/>
      <c r="D298" s="516"/>
      <c r="E298" s="333" t="s">
        <v>1063</v>
      </c>
      <c r="F298" s="217" t="s">
        <v>48</v>
      </c>
      <c r="G298" s="38" t="s">
        <v>1064</v>
      </c>
      <c r="H298" s="217" t="s">
        <v>48</v>
      </c>
      <c r="I298" s="249" t="s">
        <v>1063</v>
      </c>
      <c r="J298" s="44" t="s">
        <v>1065</v>
      </c>
      <c r="K298" s="43" t="s">
        <v>1066</v>
      </c>
      <c r="L298" s="217" t="s">
        <v>48</v>
      </c>
      <c r="M298" s="38" t="s">
        <v>1515</v>
      </c>
      <c r="N298" s="242" t="s">
        <v>48</v>
      </c>
    </row>
    <row r="299" spans="1:15" ht="30.95" customHeight="1">
      <c r="A299" s="73"/>
      <c r="B299" s="536" t="s">
        <v>185</v>
      </c>
      <c r="C299" s="537"/>
      <c r="D299" s="538"/>
      <c r="E299" s="149" t="s">
        <v>1067</v>
      </c>
      <c r="F299" s="452" t="s">
        <v>1068</v>
      </c>
      <c r="G299" s="456" t="s">
        <v>1069</v>
      </c>
      <c r="H299" s="41" t="s">
        <v>864</v>
      </c>
      <c r="I299" s="41" t="s">
        <v>864</v>
      </c>
      <c r="J299" s="44" t="s">
        <v>1514</v>
      </c>
      <c r="K299" s="41" t="s">
        <v>864</v>
      </c>
      <c r="L299" s="41" t="s">
        <v>864</v>
      </c>
      <c r="M299" s="452" t="s">
        <v>1007</v>
      </c>
      <c r="N299" s="90" t="s">
        <v>864</v>
      </c>
      <c r="O299" s="352"/>
    </row>
    <row r="300" spans="1:15" ht="28.5" customHeight="1">
      <c r="A300" s="73"/>
      <c r="B300" s="576" t="s">
        <v>1595</v>
      </c>
      <c r="C300" s="537"/>
      <c r="D300" s="538"/>
      <c r="E300" s="69" t="s">
        <v>864</v>
      </c>
      <c r="F300" s="46" t="s">
        <v>1670</v>
      </c>
      <c r="G300" s="41" t="s">
        <v>864</v>
      </c>
      <c r="H300" s="38" t="s">
        <v>1070</v>
      </c>
      <c r="I300" s="41" t="s">
        <v>864</v>
      </c>
      <c r="J300" s="46" t="s">
        <v>1718</v>
      </c>
      <c r="K300" s="41" t="s">
        <v>864</v>
      </c>
      <c r="L300" s="46" t="s">
        <v>1705</v>
      </c>
      <c r="M300" s="41" t="s">
        <v>864</v>
      </c>
      <c r="N300" s="90" t="s">
        <v>864</v>
      </c>
      <c r="O300" s="354"/>
    </row>
    <row r="301" spans="1:15" ht="33.75" customHeight="1">
      <c r="A301" s="73"/>
      <c r="B301" s="576" t="s">
        <v>1596</v>
      </c>
      <c r="C301" s="537"/>
      <c r="D301" s="538"/>
      <c r="E301" s="69" t="s">
        <v>864</v>
      </c>
      <c r="F301" s="41" t="s">
        <v>864</v>
      </c>
      <c r="G301" s="46" t="s">
        <v>1715</v>
      </c>
      <c r="H301" s="41" t="s">
        <v>864</v>
      </c>
      <c r="I301" s="46" t="s">
        <v>1763</v>
      </c>
      <c r="J301" s="46" t="s">
        <v>1783</v>
      </c>
      <c r="K301" s="46" t="s">
        <v>1678</v>
      </c>
      <c r="L301" s="41" t="s">
        <v>864</v>
      </c>
      <c r="M301" s="41" t="s">
        <v>864</v>
      </c>
      <c r="N301" s="90" t="s">
        <v>864</v>
      </c>
    </row>
    <row r="302" spans="1:15" ht="28.5" customHeight="1">
      <c r="A302" s="73"/>
      <c r="B302" s="576" t="s">
        <v>1597</v>
      </c>
      <c r="C302" s="537"/>
      <c r="D302" s="538"/>
      <c r="E302" s="51" t="s">
        <v>1721</v>
      </c>
      <c r="F302" s="41" t="s">
        <v>864</v>
      </c>
      <c r="G302" s="41" t="s">
        <v>864</v>
      </c>
      <c r="H302" s="41" t="s">
        <v>864</v>
      </c>
      <c r="I302" s="46" t="s">
        <v>1692</v>
      </c>
      <c r="J302" s="41" t="s">
        <v>864</v>
      </c>
      <c r="K302" s="46" t="s">
        <v>1764</v>
      </c>
      <c r="L302" s="46" t="s">
        <v>1725</v>
      </c>
      <c r="M302" s="41" t="s">
        <v>864</v>
      </c>
      <c r="N302" s="90" t="s">
        <v>864</v>
      </c>
    </row>
    <row r="303" spans="1:15" ht="29.25" customHeight="1">
      <c r="A303" s="73"/>
      <c r="B303" s="533" t="s">
        <v>1598</v>
      </c>
      <c r="C303" s="534"/>
      <c r="D303" s="535"/>
      <c r="E303" s="69" t="s">
        <v>864</v>
      </c>
      <c r="F303" s="46" t="s">
        <v>1706</v>
      </c>
      <c r="G303" s="41" t="s">
        <v>864</v>
      </c>
      <c r="H303" s="46" t="s">
        <v>1673</v>
      </c>
      <c r="I303" s="41" t="s">
        <v>864</v>
      </c>
      <c r="J303" s="41" t="s">
        <v>864</v>
      </c>
      <c r="K303" s="41" t="s">
        <v>864</v>
      </c>
      <c r="L303" s="469" t="s">
        <v>1748</v>
      </c>
      <c r="M303" s="41" t="s">
        <v>864</v>
      </c>
      <c r="N303" s="90" t="s">
        <v>864</v>
      </c>
      <c r="O303" s="308"/>
    </row>
    <row r="304" spans="1:15" ht="29.25" customHeight="1">
      <c r="A304" s="73"/>
      <c r="B304" s="533" t="s">
        <v>1599</v>
      </c>
      <c r="C304" s="534"/>
      <c r="D304" s="535"/>
      <c r="E304" s="69" t="s">
        <v>864</v>
      </c>
      <c r="F304" s="41" t="s">
        <v>864</v>
      </c>
      <c r="G304" s="46" t="s">
        <v>1682</v>
      </c>
      <c r="H304" s="38" t="s">
        <v>1579</v>
      </c>
      <c r="I304" s="46" t="s">
        <v>1697</v>
      </c>
      <c r="J304" s="41" t="s">
        <v>864</v>
      </c>
      <c r="K304" s="41" t="s">
        <v>864</v>
      </c>
      <c r="L304" s="41" t="s">
        <v>864</v>
      </c>
      <c r="M304" s="41" t="s">
        <v>864</v>
      </c>
      <c r="N304" s="90" t="s">
        <v>864</v>
      </c>
      <c r="O304" s="308"/>
    </row>
    <row r="305" spans="2:15" ht="27.75" customHeight="1" thickBot="1">
      <c r="B305" s="577" t="s">
        <v>1600</v>
      </c>
      <c r="C305" s="578"/>
      <c r="D305" s="579"/>
      <c r="E305" s="52" t="s">
        <v>864</v>
      </c>
      <c r="F305" s="151" t="s">
        <v>1686</v>
      </c>
      <c r="G305" s="53" t="s">
        <v>864</v>
      </c>
      <c r="H305" s="151" t="s">
        <v>1723</v>
      </c>
      <c r="I305" s="53" t="s">
        <v>864</v>
      </c>
      <c r="J305" s="53" t="s">
        <v>864</v>
      </c>
      <c r="K305" s="53" t="s">
        <v>864</v>
      </c>
      <c r="L305" s="53" t="s">
        <v>864</v>
      </c>
      <c r="M305" s="151" t="s">
        <v>1727</v>
      </c>
      <c r="N305" s="84" t="s">
        <v>864</v>
      </c>
      <c r="O305" s="308"/>
    </row>
    <row r="306" spans="2:15">
      <c r="O306" s="308"/>
    </row>
    <row r="307" spans="2:15">
      <c r="O307" s="308"/>
    </row>
    <row r="308" spans="2:15">
      <c r="O308" s="308"/>
    </row>
  </sheetData>
  <mergeCells count="530">
    <mergeCell ref="B300:D300"/>
    <mergeCell ref="B301:D301"/>
    <mergeCell ref="B302:D302"/>
    <mergeCell ref="B303:D303"/>
    <mergeCell ref="B304:D304"/>
    <mergeCell ref="B305:D305"/>
    <mergeCell ref="D258:D259"/>
    <mergeCell ref="D261:D262"/>
    <mergeCell ref="D264:D265"/>
    <mergeCell ref="D266:D267"/>
    <mergeCell ref="D269:D270"/>
    <mergeCell ref="D271:D272"/>
    <mergeCell ref="C264:C265"/>
    <mergeCell ref="C266:C267"/>
    <mergeCell ref="C269:C270"/>
    <mergeCell ref="C271:C272"/>
    <mergeCell ref="C258:C259"/>
    <mergeCell ref="C261:C262"/>
    <mergeCell ref="B269:B270"/>
    <mergeCell ref="B271:B272"/>
    <mergeCell ref="B258:B259"/>
    <mergeCell ref="B261:B262"/>
    <mergeCell ref="B264:B265"/>
    <mergeCell ref="B266:B267"/>
    <mergeCell ref="T11:T12"/>
    <mergeCell ref="D238:D239"/>
    <mergeCell ref="D240:D241"/>
    <mergeCell ref="D242:D243"/>
    <mergeCell ref="D244:D245"/>
    <mergeCell ref="D246:D247"/>
    <mergeCell ref="D248:D249"/>
    <mergeCell ref="D251:D252"/>
    <mergeCell ref="D253:D254"/>
    <mergeCell ref="D200:D201"/>
    <mergeCell ref="D202:D203"/>
    <mergeCell ref="D204:D205"/>
    <mergeCell ref="D206:D207"/>
    <mergeCell ref="D208:D209"/>
    <mergeCell ref="D210:D211"/>
    <mergeCell ref="D212:D213"/>
    <mergeCell ref="D214:D215"/>
    <mergeCell ref="D216:D217"/>
    <mergeCell ref="D179:D180"/>
    <mergeCell ref="D181:D182"/>
    <mergeCell ref="D183:D184"/>
    <mergeCell ref="D186:D187"/>
    <mergeCell ref="D188:D189"/>
    <mergeCell ref="D191:D192"/>
    <mergeCell ref="D256:D257"/>
    <mergeCell ref="D218:D219"/>
    <mergeCell ref="D220:D221"/>
    <mergeCell ref="D223:D224"/>
    <mergeCell ref="D225:D226"/>
    <mergeCell ref="D227:D228"/>
    <mergeCell ref="D229:D230"/>
    <mergeCell ref="D231:D232"/>
    <mergeCell ref="D233:D234"/>
    <mergeCell ref="D236:D237"/>
    <mergeCell ref="D193:D194"/>
    <mergeCell ref="D196:D197"/>
    <mergeCell ref="D198:D199"/>
    <mergeCell ref="D160:D161"/>
    <mergeCell ref="D162:D163"/>
    <mergeCell ref="D164:D165"/>
    <mergeCell ref="D166:D167"/>
    <mergeCell ref="D169:D170"/>
    <mergeCell ref="D171:D172"/>
    <mergeCell ref="D173:D174"/>
    <mergeCell ref="D175:D176"/>
    <mergeCell ref="D177:D178"/>
    <mergeCell ref="D141:D142"/>
    <mergeCell ref="D143:D144"/>
    <mergeCell ref="D145:D146"/>
    <mergeCell ref="D147:D148"/>
    <mergeCell ref="D149:D150"/>
    <mergeCell ref="D151:D152"/>
    <mergeCell ref="D153:D154"/>
    <mergeCell ref="D156:D157"/>
    <mergeCell ref="D158:D159"/>
    <mergeCell ref="D122:D123"/>
    <mergeCell ref="D124:D125"/>
    <mergeCell ref="D126:D127"/>
    <mergeCell ref="D128:D129"/>
    <mergeCell ref="D130:D131"/>
    <mergeCell ref="D132:D133"/>
    <mergeCell ref="D135:D136"/>
    <mergeCell ref="D137:D138"/>
    <mergeCell ref="D139:D140"/>
    <mergeCell ref="D104:D105"/>
    <mergeCell ref="D106:D107"/>
    <mergeCell ref="D108:D109"/>
    <mergeCell ref="D110:D111"/>
    <mergeCell ref="D112:D113"/>
    <mergeCell ref="D114:D115"/>
    <mergeCell ref="D116:D117"/>
    <mergeCell ref="D118:D119"/>
    <mergeCell ref="D120:D121"/>
    <mergeCell ref="D86:D87"/>
    <mergeCell ref="D88:D89"/>
    <mergeCell ref="D90:D91"/>
    <mergeCell ref="D92:D93"/>
    <mergeCell ref="D94:D95"/>
    <mergeCell ref="D96:D97"/>
    <mergeCell ref="D98:D99"/>
    <mergeCell ref="D100:D101"/>
    <mergeCell ref="D102:D103"/>
    <mergeCell ref="D68:D69"/>
    <mergeCell ref="D70:D71"/>
    <mergeCell ref="D72:D73"/>
    <mergeCell ref="D74:D75"/>
    <mergeCell ref="D76:D77"/>
    <mergeCell ref="D78:D79"/>
    <mergeCell ref="D80:D81"/>
    <mergeCell ref="D82:D83"/>
    <mergeCell ref="D84:D85"/>
    <mergeCell ref="D48:D49"/>
    <mergeCell ref="D50:D51"/>
    <mergeCell ref="D52:D53"/>
    <mergeCell ref="D55:D56"/>
    <mergeCell ref="D58:D59"/>
    <mergeCell ref="D60:D61"/>
    <mergeCell ref="D62:D63"/>
    <mergeCell ref="D64:D65"/>
    <mergeCell ref="D66:D67"/>
    <mergeCell ref="D2:D3"/>
    <mergeCell ref="D4:D5"/>
    <mergeCell ref="D6:D7"/>
    <mergeCell ref="D9:D10"/>
    <mergeCell ref="D11:D12"/>
    <mergeCell ref="D14:D15"/>
    <mergeCell ref="D16:D17"/>
    <mergeCell ref="D18:D19"/>
    <mergeCell ref="D20:D21"/>
    <mergeCell ref="D22:D23"/>
    <mergeCell ref="D25:D26"/>
    <mergeCell ref="D27:D28"/>
    <mergeCell ref="D29:D30"/>
    <mergeCell ref="D31:D32"/>
    <mergeCell ref="D33:D34"/>
    <mergeCell ref="D35:D36"/>
    <mergeCell ref="D38:D39"/>
    <mergeCell ref="D41:D42"/>
    <mergeCell ref="D44:D45"/>
    <mergeCell ref="D46:D47"/>
    <mergeCell ref="C242:C243"/>
    <mergeCell ref="C244:C245"/>
    <mergeCell ref="C246:C247"/>
    <mergeCell ref="C248:C249"/>
    <mergeCell ref="C251:C252"/>
    <mergeCell ref="C253:C254"/>
    <mergeCell ref="C256:C257"/>
    <mergeCell ref="C223:C224"/>
    <mergeCell ref="C225:C226"/>
    <mergeCell ref="C227:C228"/>
    <mergeCell ref="C229:C230"/>
    <mergeCell ref="C231:C232"/>
    <mergeCell ref="C233:C234"/>
    <mergeCell ref="C236:C237"/>
    <mergeCell ref="C238:C239"/>
    <mergeCell ref="C240:C241"/>
    <mergeCell ref="C204:C205"/>
    <mergeCell ref="C206:C207"/>
    <mergeCell ref="C208:C209"/>
    <mergeCell ref="C210:C211"/>
    <mergeCell ref="C212:C213"/>
    <mergeCell ref="C214:C215"/>
    <mergeCell ref="C216:C217"/>
    <mergeCell ref="C218:C219"/>
    <mergeCell ref="C220:C221"/>
    <mergeCell ref="C183:C184"/>
    <mergeCell ref="C186:C187"/>
    <mergeCell ref="C188:C189"/>
    <mergeCell ref="C191:C192"/>
    <mergeCell ref="C193:C194"/>
    <mergeCell ref="C196:C197"/>
    <mergeCell ref="C198:C199"/>
    <mergeCell ref="C200:C201"/>
    <mergeCell ref="C202:C203"/>
    <mergeCell ref="C164:C165"/>
    <mergeCell ref="C166:C167"/>
    <mergeCell ref="C169:C170"/>
    <mergeCell ref="C171:C172"/>
    <mergeCell ref="C173:C174"/>
    <mergeCell ref="C175:C176"/>
    <mergeCell ref="C177:C178"/>
    <mergeCell ref="C179:C180"/>
    <mergeCell ref="C181:C182"/>
    <mergeCell ref="C145:C146"/>
    <mergeCell ref="C147:C148"/>
    <mergeCell ref="C149:C150"/>
    <mergeCell ref="C151:C152"/>
    <mergeCell ref="C153:C154"/>
    <mergeCell ref="C156:C157"/>
    <mergeCell ref="C158:C159"/>
    <mergeCell ref="C160:C161"/>
    <mergeCell ref="C162:C163"/>
    <mergeCell ref="C126:C127"/>
    <mergeCell ref="C128:C129"/>
    <mergeCell ref="C130:C131"/>
    <mergeCell ref="C132:C133"/>
    <mergeCell ref="C135:C136"/>
    <mergeCell ref="C137:C138"/>
    <mergeCell ref="C139:C140"/>
    <mergeCell ref="C141:C142"/>
    <mergeCell ref="C143:C144"/>
    <mergeCell ref="C108:C109"/>
    <mergeCell ref="C110:C111"/>
    <mergeCell ref="C112:C113"/>
    <mergeCell ref="C114:C115"/>
    <mergeCell ref="C116:C117"/>
    <mergeCell ref="C118:C119"/>
    <mergeCell ref="C120:C121"/>
    <mergeCell ref="C122:C123"/>
    <mergeCell ref="C124:C125"/>
    <mergeCell ref="C90:C91"/>
    <mergeCell ref="C92:C93"/>
    <mergeCell ref="C94:C95"/>
    <mergeCell ref="C96:C97"/>
    <mergeCell ref="C98:C99"/>
    <mergeCell ref="C100:C101"/>
    <mergeCell ref="C102:C103"/>
    <mergeCell ref="C104:C105"/>
    <mergeCell ref="C106:C107"/>
    <mergeCell ref="C72:C73"/>
    <mergeCell ref="C74:C75"/>
    <mergeCell ref="C76:C77"/>
    <mergeCell ref="C78:C79"/>
    <mergeCell ref="C80:C81"/>
    <mergeCell ref="C82:C83"/>
    <mergeCell ref="C84:C85"/>
    <mergeCell ref="C86:C87"/>
    <mergeCell ref="C88:C89"/>
    <mergeCell ref="C52:C53"/>
    <mergeCell ref="C55:C56"/>
    <mergeCell ref="C58:C59"/>
    <mergeCell ref="C60:C61"/>
    <mergeCell ref="C62:C63"/>
    <mergeCell ref="C64:C65"/>
    <mergeCell ref="C66:C67"/>
    <mergeCell ref="C68:C69"/>
    <mergeCell ref="C70:C71"/>
    <mergeCell ref="C2:C3"/>
    <mergeCell ref="C4:C5"/>
    <mergeCell ref="C6:C7"/>
    <mergeCell ref="C9:C10"/>
    <mergeCell ref="C11:C12"/>
    <mergeCell ref="C14:C15"/>
    <mergeCell ref="C16:C17"/>
    <mergeCell ref="C18:C19"/>
    <mergeCell ref="C20:C21"/>
    <mergeCell ref="C22:C23"/>
    <mergeCell ref="C25:C26"/>
    <mergeCell ref="C27:C28"/>
    <mergeCell ref="C29:C30"/>
    <mergeCell ref="C31:C32"/>
    <mergeCell ref="C33:C34"/>
    <mergeCell ref="C35:C36"/>
    <mergeCell ref="C38:C39"/>
    <mergeCell ref="C41:C42"/>
    <mergeCell ref="C44:C45"/>
    <mergeCell ref="C46:C47"/>
    <mergeCell ref="C48:C49"/>
    <mergeCell ref="C50:C51"/>
    <mergeCell ref="B246:B247"/>
    <mergeCell ref="B248:B249"/>
    <mergeCell ref="B251:B252"/>
    <mergeCell ref="B253:B254"/>
    <mergeCell ref="B256:B257"/>
    <mergeCell ref="B227:B228"/>
    <mergeCell ref="B229:B230"/>
    <mergeCell ref="B231:B232"/>
    <mergeCell ref="B233:B234"/>
    <mergeCell ref="B236:B237"/>
    <mergeCell ref="B238:B239"/>
    <mergeCell ref="B240:B241"/>
    <mergeCell ref="B242:B243"/>
    <mergeCell ref="B244:B245"/>
    <mergeCell ref="B208:B209"/>
    <mergeCell ref="B210:B211"/>
    <mergeCell ref="B212:B213"/>
    <mergeCell ref="B214:B215"/>
    <mergeCell ref="B216:B217"/>
    <mergeCell ref="B218:B219"/>
    <mergeCell ref="B220:B221"/>
    <mergeCell ref="B223:B224"/>
    <mergeCell ref="B225:B226"/>
    <mergeCell ref="B188:B189"/>
    <mergeCell ref="B191:B192"/>
    <mergeCell ref="B193:B194"/>
    <mergeCell ref="B196:B197"/>
    <mergeCell ref="B198:B199"/>
    <mergeCell ref="B200:B201"/>
    <mergeCell ref="B202:B203"/>
    <mergeCell ref="B204:B205"/>
    <mergeCell ref="B206:B207"/>
    <mergeCell ref="B169:B170"/>
    <mergeCell ref="B171:B172"/>
    <mergeCell ref="B173:B174"/>
    <mergeCell ref="B175:B176"/>
    <mergeCell ref="B177:B178"/>
    <mergeCell ref="B179:B180"/>
    <mergeCell ref="B181:B182"/>
    <mergeCell ref="B183:B184"/>
    <mergeCell ref="B186:B187"/>
    <mergeCell ref="B149:B150"/>
    <mergeCell ref="B151:B152"/>
    <mergeCell ref="B153:B154"/>
    <mergeCell ref="B156:B157"/>
    <mergeCell ref="B158:B159"/>
    <mergeCell ref="B160:B161"/>
    <mergeCell ref="B162:B163"/>
    <mergeCell ref="B164:B165"/>
    <mergeCell ref="B166:B167"/>
    <mergeCell ref="B130:B131"/>
    <mergeCell ref="B132:B133"/>
    <mergeCell ref="B135:B136"/>
    <mergeCell ref="B137:B138"/>
    <mergeCell ref="B139:B140"/>
    <mergeCell ref="B141:B142"/>
    <mergeCell ref="B143:B144"/>
    <mergeCell ref="B145:B146"/>
    <mergeCell ref="B147:B148"/>
    <mergeCell ref="B112:B113"/>
    <mergeCell ref="B114:B115"/>
    <mergeCell ref="B116:B117"/>
    <mergeCell ref="B118:B119"/>
    <mergeCell ref="B120:B121"/>
    <mergeCell ref="B122:B123"/>
    <mergeCell ref="B124:B125"/>
    <mergeCell ref="B126:B127"/>
    <mergeCell ref="B128:B129"/>
    <mergeCell ref="B94:B95"/>
    <mergeCell ref="B96:B97"/>
    <mergeCell ref="B98:B99"/>
    <mergeCell ref="B100:B101"/>
    <mergeCell ref="B102:B103"/>
    <mergeCell ref="B104:B105"/>
    <mergeCell ref="B106:B107"/>
    <mergeCell ref="B108:B109"/>
    <mergeCell ref="B110:B111"/>
    <mergeCell ref="B76:B77"/>
    <mergeCell ref="B78:B79"/>
    <mergeCell ref="B80:B81"/>
    <mergeCell ref="B82:B83"/>
    <mergeCell ref="B84:B85"/>
    <mergeCell ref="B86:B87"/>
    <mergeCell ref="B88:B89"/>
    <mergeCell ref="B90:B91"/>
    <mergeCell ref="B92:B93"/>
    <mergeCell ref="B58:B59"/>
    <mergeCell ref="B60:B61"/>
    <mergeCell ref="B62:B63"/>
    <mergeCell ref="B64:B65"/>
    <mergeCell ref="B66:B67"/>
    <mergeCell ref="B68:B69"/>
    <mergeCell ref="B70:B71"/>
    <mergeCell ref="B72:B73"/>
    <mergeCell ref="B74:B75"/>
    <mergeCell ref="A271:A272"/>
    <mergeCell ref="B4:B5"/>
    <mergeCell ref="B6:B7"/>
    <mergeCell ref="B9:B10"/>
    <mergeCell ref="B11:B12"/>
    <mergeCell ref="B14:B15"/>
    <mergeCell ref="B16:B17"/>
    <mergeCell ref="B18:B19"/>
    <mergeCell ref="B20:B21"/>
    <mergeCell ref="B22:B23"/>
    <mergeCell ref="B25:B26"/>
    <mergeCell ref="B27:B28"/>
    <mergeCell ref="B29:B30"/>
    <mergeCell ref="B31:B32"/>
    <mergeCell ref="B33:B34"/>
    <mergeCell ref="B35:B36"/>
    <mergeCell ref="B38:B39"/>
    <mergeCell ref="B41:B42"/>
    <mergeCell ref="B44:B45"/>
    <mergeCell ref="B46:B47"/>
    <mergeCell ref="B48:B49"/>
    <mergeCell ref="B50:B51"/>
    <mergeCell ref="B52:B53"/>
    <mergeCell ref="B55:B56"/>
    <mergeCell ref="A248:A249"/>
    <mergeCell ref="A251:A252"/>
    <mergeCell ref="A253:A254"/>
    <mergeCell ref="A256:A257"/>
    <mergeCell ref="A258:A259"/>
    <mergeCell ref="A261:A262"/>
    <mergeCell ref="A264:A265"/>
    <mergeCell ref="A266:A267"/>
    <mergeCell ref="A269:A270"/>
    <mergeCell ref="A229:A230"/>
    <mergeCell ref="A231:A232"/>
    <mergeCell ref="A233:A234"/>
    <mergeCell ref="A236:A237"/>
    <mergeCell ref="A238:A239"/>
    <mergeCell ref="A240:A241"/>
    <mergeCell ref="A242:A243"/>
    <mergeCell ref="A244:A245"/>
    <mergeCell ref="A246:A247"/>
    <mergeCell ref="A210:A211"/>
    <mergeCell ref="A212:A213"/>
    <mergeCell ref="A214:A215"/>
    <mergeCell ref="A216:A217"/>
    <mergeCell ref="A218:A219"/>
    <mergeCell ref="A220:A221"/>
    <mergeCell ref="A223:A224"/>
    <mergeCell ref="A225:A226"/>
    <mergeCell ref="A227:A228"/>
    <mergeCell ref="A191:A192"/>
    <mergeCell ref="A193:A194"/>
    <mergeCell ref="A196:A197"/>
    <mergeCell ref="A198:A199"/>
    <mergeCell ref="A200:A201"/>
    <mergeCell ref="A202:A203"/>
    <mergeCell ref="A204:A205"/>
    <mergeCell ref="A206:A207"/>
    <mergeCell ref="A208:A209"/>
    <mergeCell ref="A171:A172"/>
    <mergeCell ref="A173:A174"/>
    <mergeCell ref="A175:A176"/>
    <mergeCell ref="A177:A178"/>
    <mergeCell ref="A179:A180"/>
    <mergeCell ref="A181:A182"/>
    <mergeCell ref="A183:A184"/>
    <mergeCell ref="A186:A187"/>
    <mergeCell ref="A188:A189"/>
    <mergeCell ref="A151:A152"/>
    <mergeCell ref="A153:A154"/>
    <mergeCell ref="A156:A157"/>
    <mergeCell ref="A158:A159"/>
    <mergeCell ref="A160:A161"/>
    <mergeCell ref="A162:A163"/>
    <mergeCell ref="A164:A165"/>
    <mergeCell ref="A166:A167"/>
    <mergeCell ref="A169:A170"/>
    <mergeCell ref="A132:A133"/>
    <mergeCell ref="A135:A136"/>
    <mergeCell ref="A137:A138"/>
    <mergeCell ref="A139:A140"/>
    <mergeCell ref="A141:A142"/>
    <mergeCell ref="A143:A144"/>
    <mergeCell ref="A145:A146"/>
    <mergeCell ref="A147:A148"/>
    <mergeCell ref="A149:A150"/>
    <mergeCell ref="A114:A115"/>
    <mergeCell ref="A116:A117"/>
    <mergeCell ref="A118:A119"/>
    <mergeCell ref="A120:A121"/>
    <mergeCell ref="A122:A123"/>
    <mergeCell ref="A124:A125"/>
    <mergeCell ref="A126:A127"/>
    <mergeCell ref="A128:A129"/>
    <mergeCell ref="A130:A131"/>
    <mergeCell ref="A96:A97"/>
    <mergeCell ref="A98:A99"/>
    <mergeCell ref="A100:A101"/>
    <mergeCell ref="A102:A103"/>
    <mergeCell ref="A104:A105"/>
    <mergeCell ref="A106:A107"/>
    <mergeCell ref="A108:A109"/>
    <mergeCell ref="A110:A111"/>
    <mergeCell ref="A112:A113"/>
    <mergeCell ref="A78:A79"/>
    <mergeCell ref="A80:A81"/>
    <mergeCell ref="A82:A83"/>
    <mergeCell ref="A84:A85"/>
    <mergeCell ref="A86:A87"/>
    <mergeCell ref="A88:A89"/>
    <mergeCell ref="A90:A91"/>
    <mergeCell ref="A92:A93"/>
    <mergeCell ref="A94:A95"/>
    <mergeCell ref="B295:D295"/>
    <mergeCell ref="B296:D296"/>
    <mergeCell ref="B297:D297"/>
    <mergeCell ref="B298:D298"/>
    <mergeCell ref="B299:D299"/>
    <mergeCell ref="A2:A3"/>
    <mergeCell ref="A4:A5"/>
    <mergeCell ref="A6:A7"/>
    <mergeCell ref="A9:A10"/>
    <mergeCell ref="A11:A12"/>
    <mergeCell ref="A14:A15"/>
    <mergeCell ref="A16:A17"/>
    <mergeCell ref="A18:A19"/>
    <mergeCell ref="A20:A21"/>
    <mergeCell ref="A22:A23"/>
    <mergeCell ref="A25:A26"/>
    <mergeCell ref="A27:A28"/>
    <mergeCell ref="A29:A30"/>
    <mergeCell ref="A31:A32"/>
    <mergeCell ref="A33:A34"/>
    <mergeCell ref="A35:A36"/>
    <mergeCell ref="A38:A39"/>
    <mergeCell ref="A41:A42"/>
    <mergeCell ref="A44:A45"/>
    <mergeCell ref="B277:D277"/>
    <mergeCell ref="B278:D278"/>
    <mergeCell ref="B279:D279"/>
    <mergeCell ref="B280:D280"/>
    <mergeCell ref="B281:D281"/>
    <mergeCell ref="E291:F291"/>
    <mergeCell ref="E292:F292"/>
    <mergeCell ref="G292:H292"/>
    <mergeCell ref="E293:F293"/>
    <mergeCell ref="G293:H293"/>
    <mergeCell ref="A1:N1"/>
    <mergeCell ref="S2:T2"/>
    <mergeCell ref="V3:AB3"/>
    <mergeCell ref="AD3:AJ3"/>
    <mergeCell ref="AL3:AR3"/>
    <mergeCell ref="A255:N255"/>
    <mergeCell ref="B274:D274"/>
    <mergeCell ref="B275:D275"/>
    <mergeCell ref="B276:D276"/>
    <mergeCell ref="A46:A47"/>
    <mergeCell ref="A48:A49"/>
    <mergeCell ref="A50:A51"/>
    <mergeCell ref="A52:A53"/>
    <mergeCell ref="A55:A56"/>
    <mergeCell ref="A58:A59"/>
    <mergeCell ref="A60:A61"/>
    <mergeCell ref="A62:A63"/>
    <mergeCell ref="A64:A65"/>
    <mergeCell ref="A66:A67"/>
    <mergeCell ref="A68:A69"/>
    <mergeCell ref="A70:A71"/>
    <mergeCell ref="A72:A73"/>
    <mergeCell ref="A74:A75"/>
    <mergeCell ref="A76:A77"/>
  </mergeCells>
  <pageMargins left="9.9305555555555605E-2" right="0" top="0" bottom="5.9027777777777797E-2" header="0" footer="5.9027777777777797E-2"/>
  <pageSetup paperSize="9" scale="90" orientation="landscape" r:id="rId1"/>
  <headerFooter alignWithMargins="0"/>
  <rowBreaks count="2" manualBreakCount="2">
    <brk id="224" max="13" man="1"/>
    <brk id="232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indexed="15"/>
  </sheetPr>
  <dimension ref="A1:O465"/>
  <sheetViews>
    <sheetView zoomScale="115" zoomScaleNormal="115" workbookViewId="0">
      <pane xSplit="1" ySplit="3" topLeftCell="B46" activePane="bottomRight" state="frozen"/>
      <selection activeCell="G17" sqref="G17"/>
      <selection pane="topRight" activeCell="G17" sqref="G17"/>
      <selection pane="bottomLeft" activeCell="G17" sqref="G17"/>
      <selection pane="bottomRight" activeCell="B65" sqref="B65"/>
    </sheetView>
  </sheetViews>
  <sheetFormatPr defaultColWidth="9" defaultRowHeight="15"/>
  <cols>
    <col min="1" max="1" width="5.7109375" style="110" customWidth="1"/>
    <col min="2" max="2" width="12.7109375" style="110" customWidth="1"/>
    <col min="3" max="3" width="12.85546875" style="110" customWidth="1"/>
    <col min="4" max="4" width="12.7109375" style="110" customWidth="1"/>
    <col min="5" max="6" width="13" style="110" customWidth="1"/>
    <col min="7" max="11" width="12.7109375" style="110" customWidth="1"/>
    <col min="12" max="13" width="11.5703125" customWidth="1"/>
    <col min="15" max="15" width="2.85546875" style="30" customWidth="1"/>
  </cols>
  <sheetData>
    <row r="1" spans="1:15" ht="26.25">
      <c r="A1" s="581" t="s">
        <v>1753</v>
      </c>
      <c r="B1" s="582"/>
      <c r="C1" s="582"/>
      <c r="D1" s="582"/>
      <c r="E1" s="582"/>
      <c r="F1" s="582"/>
      <c r="G1" s="582"/>
      <c r="H1" s="582"/>
      <c r="I1" s="582"/>
      <c r="J1" s="582"/>
      <c r="K1" s="583"/>
      <c r="L1" s="70"/>
      <c r="M1" s="70"/>
      <c r="N1" s="95"/>
      <c r="O1" s="70"/>
    </row>
    <row r="2" spans="1:15">
      <c r="A2" s="584">
        <v>0</v>
      </c>
      <c r="B2" s="111" t="s">
        <v>4</v>
      </c>
      <c r="C2" s="111" t="s">
        <v>5</v>
      </c>
      <c r="D2" s="111" t="s">
        <v>6</v>
      </c>
      <c r="E2" s="111" t="s">
        <v>7</v>
      </c>
      <c r="F2" s="112" t="s">
        <v>8</v>
      </c>
      <c r="G2" s="111" t="s">
        <v>9</v>
      </c>
      <c r="H2" s="111" t="s">
        <v>10</v>
      </c>
      <c r="I2" s="31" t="s">
        <v>11</v>
      </c>
      <c r="J2" s="111" t="s">
        <v>12</v>
      </c>
      <c r="K2" s="72" t="s">
        <v>1071</v>
      </c>
      <c r="L2" s="73"/>
      <c r="M2" s="73"/>
      <c r="N2" s="95"/>
    </row>
    <row r="3" spans="1:15">
      <c r="A3" s="585"/>
      <c r="B3" s="113" t="s">
        <v>18</v>
      </c>
      <c r="C3" s="113" t="s">
        <v>19</v>
      </c>
      <c r="D3" s="113" t="s">
        <v>20</v>
      </c>
      <c r="E3" s="113" t="s">
        <v>21</v>
      </c>
      <c r="F3" s="113" t="s">
        <v>22</v>
      </c>
      <c r="G3" s="113" t="s">
        <v>23</v>
      </c>
      <c r="H3" s="113" t="s">
        <v>24</v>
      </c>
      <c r="I3" s="113" t="s">
        <v>25</v>
      </c>
      <c r="J3" s="113" t="s">
        <v>26</v>
      </c>
      <c r="K3" s="153" t="s">
        <v>27</v>
      </c>
      <c r="L3" s="73"/>
      <c r="M3" s="73"/>
      <c r="N3" s="95"/>
    </row>
    <row r="4" spans="1:15" ht="27.95" customHeight="1" thickBot="1">
      <c r="A4" s="586" t="s">
        <v>1072</v>
      </c>
      <c r="B4" s="114" t="s">
        <v>1073</v>
      </c>
      <c r="C4" s="115" t="s">
        <v>1074</v>
      </c>
      <c r="D4" s="116" t="s">
        <v>1075</v>
      </c>
      <c r="E4" s="115" t="s">
        <v>1076</v>
      </c>
      <c r="F4" s="115" t="s">
        <v>1077</v>
      </c>
      <c r="G4" s="117"/>
      <c r="H4" s="117" t="s">
        <v>1078</v>
      </c>
      <c r="I4" s="117" t="s">
        <v>1078</v>
      </c>
      <c r="J4" s="115" t="s">
        <v>1079</v>
      </c>
      <c r="K4" s="154" t="s">
        <v>1079</v>
      </c>
      <c r="L4" s="73"/>
      <c r="M4" s="73"/>
      <c r="N4" s="95"/>
    </row>
    <row r="5" spans="1:15" ht="17.45" customHeight="1">
      <c r="A5" s="586"/>
      <c r="B5" s="34" t="s">
        <v>1080</v>
      </c>
      <c r="C5" s="55" t="s">
        <v>43</v>
      </c>
      <c r="D5" s="36" t="s">
        <v>1081</v>
      </c>
      <c r="E5" s="55" t="s">
        <v>167</v>
      </c>
      <c r="F5" s="118" t="s">
        <v>148</v>
      </c>
      <c r="G5" s="36"/>
      <c r="H5" s="36"/>
      <c r="I5" s="54"/>
      <c r="J5" s="55" t="s">
        <v>56</v>
      </c>
      <c r="K5" s="155" t="s">
        <v>56</v>
      </c>
      <c r="L5" s="73"/>
      <c r="M5" s="73"/>
      <c r="N5" s="95"/>
    </row>
    <row r="6" spans="1:15" ht="17.45" customHeight="1">
      <c r="A6" s="586"/>
      <c r="B6" s="37" t="s">
        <v>1082</v>
      </c>
      <c r="C6" s="57" t="s">
        <v>79</v>
      </c>
      <c r="D6" s="38" t="s">
        <v>1083</v>
      </c>
      <c r="E6" s="57" t="s">
        <v>128</v>
      </c>
      <c r="F6" s="60" t="s">
        <v>55</v>
      </c>
      <c r="G6" s="38"/>
      <c r="H6" s="38"/>
      <c r="I6" s="40"/>
      <c r="J6" s="60" t="s">
        <v>55</v>
      </c>
      <c r="K6" s="156" t="s">
        <v>55</v>
      </c>
      <c r="L6" s="73"/>
      <c r="M6" s="73"/>
      <c r="N6" s="95"/>
    </row>
    <row r="7" spans="1:15" ht="17.45" customHeight="1">
      <c r="A7" s="586"/>
      <c r="B7" s="458" t="s">
        <v>1084</v>
      </c>
      <c r="C7" s="57" t="s">
        <v>89</v>
      </c>
      <c r="D7" s="38" t="s">
        <v>1085</v>
      </c>
      <c r="E7" s="57" t="s">
        <v>60</v>
      </c>
      <c r="F7" s="57" t="s">
        <v>57</v>
      </c>
      <c r="G7" s="38"/>
      <c r="H7" s="38"/>
      <c r="I7" s="40"/>
      <c r="J7" s="386" t="s">
        <v>78</v>
      </c>
      <c r="K7" s="157" t="s">
        <v>78</v>
      </c>
      <c r="L7" s="73"/>
      <c r="M7" s="73"/>
      <c r="N7" s="95"/>
    </row>
    <row r="8" spans="1:15" ht="17.45" customHeight="1">
      <c r="A8" s="586"/>
      <c r="B8" s="119" t="s">
        <v>864</v>
      </c>
      <c r="C8" s="57" t="s">
        <v>1550</v>
      </c>
      <c r="D8" s="38" t="s">
        <v>1086</v>
      </c>
      <c r="E8" s="38"/>
      <c r="F8" s="57" t="s">
        <v>90</v>
      </c>
      <c r="G8" s="38"/>
      <c r="H8" s="38"/>
      <c r="I8" s="40"/>
      <c r="J8" s="60" t="s">
        <v>60</v>
      </c>
      <c r="K8" s="156" t="s">
        <v>60</v>
      </c>
      <c r="L8" s="73"/>
      <c r="M8" s="73"/>
      <c r="N8" s="95"/>
    </row>
    <row r="9" spans="1:15" ht="17.45" customHeight="1">
      <c r="A9" s="586"/>
      <c r="B9" s="119" t="s">
        <v>864</v>
      </c>
      <c r="C9" s="120"/>
      <c r="D9" s="38" t="s">
        <v>1087</v>
      </c>
      <c r="E9" s="38"/>
      <c r="F9" s="57" t="s">
        <v>102</v>
      </c>
      <c r="G9" s="38"/>
      <c r="H9" s="38"/>
      <c r="I9" s="40"/>
      <c r="J9" s="57" t="s">
        <v>57</v>
      </c>
      <c r="K9" s="157" t="s">
        <v>57</v>
      </c>
      <c r="L9" s="73"/>
      <c r="M9" s="73"/>
      <c r="N9" s="95"/>
    </row>
    <row r="10" spans="1:15" ht="17.45" customHeight="1">
      <c r="A10" s="586"/>
      <c r="B10" s="45"/>
      <c r="C10" s="120"/>
      <c r="D10" s="48" t="s">
        <v>1088</v>
      </c>
      <c r="E10" s="38"/>
      <c r="F10" s="57" t="s">
        <v>1553</v>
      </c>
      <c r="G10" s="38"/>
      <c r="H10" s="38"/>
      <c r="I10" s="40"/>
      <c r="J10" s="133"/>
      <c r="K10" s="158"/>
      <c r="L10" s="73"/>
      <c r="M10" s="73"/>
      <c r="N10" s="95"/>
    </row>
    <row r="11" spans="1:15" ht="17.45" customHeight="1">
      <c r="A11" s="586"/>
      <c r="B11" s="45"/>
      <c r="C11" s="120"/>
      <c r="D11" s="39" t="s">
        <v>240</v>
      </c>
      <c r="E11" s="38"/>
      <c r="F11" s="57" t="s">
        <v>1756</v>
      </c>
      <c r="G11" s="38"/>
      <c r="H11" s="38"/>
      <c r="I11" s="38"/>
      <c r="J11" s="38"/>
      <c r="K11" s="77"/>
      <c r="L11" s="73"/>
      <c r="M11" s="73"/>
      <c r="N11" s="95"/>
    </row>
    <row r="12" spans="1:15" ht="17.45" customHeight="1">
      <c r="A12" s="586"/>
      <c r="B12" s="45"/>
      <c r="C12" s="120"/>
      <c r="D12" s="131" t="s">
        <v>864</v>
      </c>
      <c r="E12" s="38"/>
      <c r="F12" s="38"/>
      <c r="G12" s="38"/>
      <c r="H12" s="40"/>
      <c r="I12" s="38"/>
      <c r="J12" s="38"/>
      <c r="K12" s="77"/>
      <c r="L12" s="73"/>
      <c r="M12" s="73"/>
      <c r="N12" s="95"/>
    </row>
    <row r="13" spans="1:15" ht="17.45" customHeight="1" thickBot="1">
      <c r="A13" s="586"/>
      <c r="B13" s="121"/>
      <c r="C13" s="122"/>
      <c r="D13" s="123" t="s">
        <v>864</v>
      </c>
      <c r="E13" s="124"/>
      <c r="F13" s="124"/>
      <c r="G13" s="124"/>
      <c r="H13" s="125"/>
      <c r="I13" s="124"/>
      <c r="J13" s="124"/>
      <c r="K13" s="159"/>
      <c r="L13" s="73"/>
      <c r="M13" s="73"/>
      <c r="N13" s="95"/>
    </row>
    <row r="14" spans="1:15" ht="27.95" customHeight="1" thickBot="1">
      <c r="A14" s="587" t="s">
        <v>1089</v>
      </c>
      <c r="B14" s="126" t="s">
        <v>1090</v>
      </c>
      <c r="C14" s="127" t="s">
        <v>1091</v>
      </c>
      <c r="D14" s="128" t="s">
        <v>1092</v>
      </c>
      <c r="E14" s="128" t="s">
        <v>1093</v>
      </c>
      <c r="F14" s="127" t="s">
        <v>1094</v>
      </c>
      <c r="G14" s="129"/>
      <c r="H14" s="129" t="s">
        <v>1078</v>
      </c>
      <c r="I14" s="129" t="s">
        <v>1078</v>
      </c>
      <c r="J14" s="136" t="s">
        <v>1095</v>
      </c>
      <c r="K14" s="160" t="s">
        <v>1095</v>
      </c>
      <c r="L14" s="73"/>
      <c r="M14" s="73"/>
      <c r="N14" s="95"/>
    </row>
    <row r="15" spans="1:15" ht="17.45" customHeight="1">
      <c r="A15" s="586"/>
      <c r="B15" s="34" t="s">
        <v>1096</v>
      </c>
      <c r="C15" s="36" t="s">
        <v>1103</v>
      </c>
      <c r="D15" s="36" t="s">
        <v>1098</v>
      </c>
      <c r="E15" s="36" t="s">
        <v>1099</v>
      </c>
      <c r="F15" s="54" t="s">
        <v>1100</v>
      </c>
      <c r="G15" s="54"/>
      <c r="H15" s="130"/>
      <c r="I15" s="36"/>
      <c r="J15" s="55" t="s">
        <v>43</v>
      </c>
      <c r="K15" s="155" t="s">
        <v>43</v>
      </c>
      <c r="L15" s="73"/>
      <c r="M15" s="73"/>
      <c r="N15" s="95"/>
    </row>
    <row r="16" spans="1:15" ht="17.45" customHeight="1">
      <c r="A16" s="586"/>
      <c r="B16" s="68" t="s">
        <v>1567</v>
      </c>
      <c r="C16" s="38" t="s">
        <v>1104</v>
      </c>
      <c r="D16" s="40" t="s">
        <v>1593</v>
      </c>
      <c r="E16" s="131" t="s">
        <v>864</v>
      </c>
      <c r="F16" s="38" t="s">
        <v>1104</v>
      </c>
      <c r="G16" s="40"/>
      <c r="H16" s="132"/>
      <c r="I16" s="38"/>
      <c r="J16" s="57" t="s">
        <v>128</v>
      </c>
      <c r="K16" s="157" t="s">
        <v>128</v>
      </c>
      <c r="L16" s="73"/>
      <c r="M16" s="73"/>
      <c r="N16" s="95"/>
    </row>
    <row r="17" spans="1:14" ht="17.45" customHeight="1">
      <c r="A17" s="586"/>
      <c r="B17" s="458" t="s">
        <v>1102</v>
      </c>
      <c r="C17" s="44" t="s">
        <v>1106</v>
      </c>
      <c r="D17" s="40" t="s">
        <v>1159</v>
      </c>
      <c r="E17" s="131" t="s">
        <v>864</v>
      </c>
      <c r="F17" s="131" t="s">
        <v>864</v>
      </c>
      <c r="G17" s="40"/>
      <c r="H17" s="132"/>
      <c r="I17" s="38"/>
      <c r="J17" s="57" t="s">
        <v>90</v>
      </c>
      <c r="K17" s="157" t="s">
        <v>90</v>
      </c>
      <c r="L17" s="73"/>
      <c r="M17" s="73"/>
      <c r="N17" s="95"/>
    </row>
    <row r="18" spans="1:14" ht="17.45" customHeight="1">
      <c r="A18" s="586"/>
      <c r="B18" s="119" t="s">
        <v>864</v>
      </c>
      <c r="C18" s="44" t="s">
        <v>1107</v>
      </c>
      <c r="D18" s="131" t="s">
        <v>864</v>
      </c>
      <c r="E18" s="131" t="s">
        <v>864</v>
      </c>
      <c r="F18" s="131" t="s">
        <v>864</v>
      </c>
      <c r="G18" s="40"/>
      <c r="H18" s="132"/>
      <c r="I18" s="38"/>
      <c r="J18" s="57" t="s">
        <v>77</v>
      </c>
      <c r="K18" s="157" t="s">
        <v>77</v>
      </c>
      <c r="L18" s="73"/>
      <c r="M18" s="73"/>
      <c r="N18" s="95"/>
    </row>
    <row r="19" spans="1:14" ht="17.45" customHeight="1">
      <c r="A19" s="586"/>
      <c r="B19" s="119" t="s">
        <v>864</v>
      </c>
      <c r="C19" s="44" t="s">
        <v>1108</v>
      </c>
      <c r="D19" s="131" t="s">
        <v>864</v>
      </c>
      <c r="E19" s="131" t="s">
        <v>864</v>
      </c>
      <c r="F19" s="131" t="s">
        <v>864</v>
      </c>
      <c r="G19" s="40"/>
      <c r="H19" s="132"/>
      <c r="I19" s="38"/>
      <c r="J19" s="57" t="s">
        <v>147</v>
      </c>
      <c r="K19" s="157" t="s">
        <v>147</v>
      </c>
      <c r="L19" s="73"/>
      <c r="M19" s="73"/>
      <c r="N19" s="95"/>
    </row>
    <row r="20" spans="1:14" ht="17.45" customHeight="1">
      <c r="A20" s="586"/>
      <c r="B20" s="119" t="s">
        <v>864</v>
      </c>
      <c r="C20" s="46" t="s">
        <v>1627</v>
      </c>
      <c r="D20" s="131" t="s">
        <v>864</v>
      </c>
      <c r="E20" s="131" t="s">
        <v>864</v>
      </c>
      <c r="F20" s="131" t="s">
        <v>864</v>
      </c>
      <c r="G20" s="40"/>
      <c r="H20" s="132"/>
      <c r="I20" s="38"/>
      <c r="J20" s="133"/>
      <c r="K20" s="158"/>
      <c r="L20" s="73"/>
      <c r="M20" s="73"/>
      <c r="N20" s="95"/>
    </row>
    <row r="21" spans="1:14" ht="17.45" customHeight="1">
      <c r="A21" s="586"/>
      <c r="B21" s="37"/>
      <c r="C21" s="133"/>
      <c r="D21" s="40"/>
      <c r="E21" s="38"/>
      <c r="F21" s="133"/>
      <c r="G21" s="38"/>
      <c r="H21" s="133"/>
      <c r="I21" s="38"/>
      <c r="J21" s="133"/>
      <c r="K21" s="158"/>
      <c r="L21" s="73"/>
      <c r="M21" s="73"/>
      <c r="N21" s="95"/>
    </row>
    <row r="22" spans="1:14" ht="17.45" customHeight="1">
      <c r="A22" s="586"/>
      <c r="B22" s="147"/>
      <c r="C22" s="133"/>
      <c r="D22" s="38"/>
      <c r="E22" s="38"/>
      <c r="F22" s="38"/>
      <c r="G22" s="38"/>
      <c r="H22" s="134"/>
      <c r="I22" s="38"/>
      <c r="J22" s="134"/>
      <c r="K22" s="161"/>
      <c r="L22" s="73"/>
      <c r="M22" s="73"/>
      <c r="N22" s="95"/>
    </row>
    <row r="23" spans="1:14" ht="18" customHeight="1">
      <c r="A23" s="586"/>
      <c r="B23" s="45"/>
      <c r="C23" s="133"/>
      <c r="D23" s="38"/>
      <c r="E23" s="38"/>
      <c r="F23" s="38"/>
      <c r="G23" s="38"/>
      <c r="H23" s="132"/>
      <c r="I23" s="38"/>
      <c r="J23" s="134"/>
      <c r="K23" s="161"/>
      <c r="L23" s="73"/>
      <c r="M23" s="73"/>
      <c r="N23" s="95"/>
    </row>
    <row r="24" spans="1:14" ht="18" customHeight="1" thickBot="1">
      <c r="A24" s="586"/>
      <c r="B24" s="121"/>
      <c r="C24" s="125"/>
      <c r="D24" s="124"/>
      <c r="E24" s="124"/>
      <c r="F24" s="124"/>
      <c r="G24" s="124"/>
      <c r="H24" s="135"/>
      <c r="I24" s="124"/>
      <c r="J24" s="135"/>
      <c r="K24" s="162"/>
      <c r="L24" s="73"/>
      <c r="M24" s="73"/>
      <c r="N24" s="95"/>
    </row>
    <row r="25" spans="1:14" ht="27.95" customHeight="1" thickBot="1">
      <c r="A25" s="587" t="s">
        <v>1109</v>
      </c>
      <c r="B25" s="127" t="s">
        <v>1110</v>
      </c>
      <c r="C25" s="136" t="s">
        <v>1111</v>
      </c>
      <c r="D25" s="136" t="s">
        <v>1112</v>
      </c>
      <c r="E25" s="127" t="s">
        <v>1113</v>
      </c>
      <c r="F25" s="136" t="s">
        <v>1114</v>
      </c>
      <c r="G25" s="137"/>
      <c r="H25" s="137"/>
      <c r="I25" s="136" t="s">
        <v>1115</v>
      </c>
      <c r="J25" s="136" t="s">
        <v>1116</v>
      </c>
      <c r="K25" s="160" t="s">
        <v>1116</v>
      </c>
      <c r="L25" s="73"/>
      <c r="M25" s="73"/>
      <c r="N25" s="95"/>
    </row>
    <row r="26" spans="1:14" ht="17.45" customHeight="1">
      <c r="A26" s="586"/>
      <c r="B26" s="34" t="s">
        <v>1117</v>
      </c>
      <c r="C26" s="118" t="s">
        <v>148</v>
      </c>
      <c r="D26" s="55" t="s">
        <v>103</v>
      </c>
      <c r="E26" s="36" t="s">
        <v>1118</v>
      </c>
      <c r="F26" s="55" t="s">
        <v>44</v>
      </c>
      <c r="G26" s="130"/>
      <c r="H26" s="130"/>
      <c r="I26" s="55" t="s">
        <v>56</v>
      </c>
      <c r="J26" s="55" t="s">
        <v>44</v>
      </c>
      <c r="K26" s="155" t="s">
        <v>44</v>
      </c>
      <c r="L26" s="73"/>
      <c r="M26" s="73"/>
      <c r="N26" s="95"/>
    </row>
    <row r="27" spans="1:14" ht="17.45" customHeight="1">
      <c r="A27" s="586"/>
      <c r="B27" s="47" t="s">
        <v>1119</v>
      </c>
      <c r="C27" s="57" t="s">
        <v>146</v>
      </c>
      <c r="D27" s="57" t="s">
        <v>90</v>
      </c>
      <c r="E27" s="38" t="s">
        <v>1121</v>
      </c>
      <c r="F27" s="57" t="s">
        <v>56</v>
      </c>
      <c r="G27" s="133"/>
      <c r="H27" s="133"/>
      <c r="I27" s="57" t="s">
        <v>91</v>
      </c>
      <c r="J27" s="57" t="s">
        <v>167</v>
      </c>
      <c r="K27" s="157" t="s">
        <v>167</v>
      </c>
      <c r="L27" s="73"/>
      <c r="M27" s="73"/>
      <c r="N27" s="95"/>
    </row>
    <row r="28" spans="1:14" ht="17.45" customHeight="1">
      <c r="A28" s="586"/>
      <c r="B28" s="458" t="s">
        <v>1120</v>
      </c>
      <c r="C28" s="57" t="s">
        <v>60</v>
      </c>
      <c r="D28" s="57" t="s">
        <v>77</v>
      </c>
      <c r="E28" s="138" t="s">
        <v>1122</v>
      </c>
      <c r="F28" s="57" t="s">
        <v>79</v>
      </c>
      <c r="G28" s="132"/>
      <c r="H28" s="132"/>
      <c r="I28" s="57" t="s">
        <v>42</v>
      </c>
      <c r="J28" s="60" t="s">
        <v>1749</v>
      </c>
      <c r="K28" s="156" t="s">
        <v>1494</v>
      </c>
      <c r="L28" s="73"/>
      <c r="M28" s="73"/>
      <c r="N28" s="95"/>
    </row>
    <row r="29" spans="1:14" ht="17.45" customHeight="1">
      <c r="A29" s="586"/>
      <c r="B29" s="119" t="s">
        <v>864</v>
      </c>
      <c r="C29" s="57" t="s">
        <v>1664</v>
      </c>
      <c r="D29" s="57" t="s">
        <v>1553</v>
      </c>
      <c r="E29" s="87" t="s">
        <v>1124</v>
      </c>
      <c r="F29" s="57" t="s">
        <v>89</v>
      </c>
      <c r="G29" s="132"/>
      <c r="H29" s="132"/>
      <c r="I29" s="57" t="s">
        <v>1664</v>
      </c>
      <c r="J29" s="57" t="s">
        <v>1123</v>
      </c>
      <c r="K29" s="157" t="s">
        <v>148</v>
      </c>
      <c r="L29" s="73"/>
      <c r="M29" s="73"/>
      <c r="N29" s="95"/>
    </row>
    <row r="30" spans="1:14" ht="17.45" customHeight="1">
      <c r="A30" s="586"/>
      <c r="B30" s="119" t="s">
        <v>864</v>
      </c>
      <c r="C30" s="40"/>
      <c r="D30" s="133"/>
      <c r="E30" s="46" t="s">
        <v>1690</v>
      </c>
      <c r="F30" s="57" t="s">
        <v>147</v>
      </c>
      <c r="G30" s="132"/>
      <c r="H30" s="132"/>
      <c r="I30" s="132"/>
      <c r="J30" s="57" t="s">
        <v>42</v>
      </c>
      <c r="K30" s="157" t="s">
        <v>42</v>
      </c>
      <c r="L30" s="390"/>
      <c r="M30" s="390"/>
      <c r="N30" s="95"/>
    </row>
    <row r="31" spans="1:14" ht="17.45" customHeight="1" thickBot="1">
      <c r="A31" s="586"/>
      <c r="B31" s="143"/>
      <c r="C31" s="140"/>
      <c r="D31" s="140"/>
      <c r="E31" s="140"/>
      <c r="F31" s="140"/>
      <c r="G31" s="140"/>
      <c r="H31" s="140"/>
      <c r="I31" s="140"/>
      <c r="J31" s="141" t="s">
        <v>1550</v>
      </c>
      <c r="K31" s="163" t="s">
        <v>1550</v>
      </c>
      <c r="L31" s="73"/>
      <c r="M31" s="73"/>
      <c r="N31" s="95"/>
    </row>
    <row r="32" spans="1:14" ht="27.95" customHeight="1" thickBot="1">
      <c r="A32" s="587" t="s">
        <v>1125</v>
      </c>
      <c r="B32" s="127" t="s">
        <v>1126</v>
      </c>
      <c r="C32" s="127" t="s">
        <v>1127</v>
      </c>
      <c r="D32" s="136" t="s">
        <v>1558</v>
      </c>
      <c r="E32" s="136" t="s">
        <v>152</v>
      </c>
      <c r="F32" s="127" t="s">
        <v>1128</v>
      </c>
      <c r="G32" s="128" t="s">
        <v>1129</v>
      </c>
      <c r="H32" s="142" t="s">
        <v>1130</v>
      </c>
      <c r="I32" s="136" t="s">
        <v>1131</v>
      </c>
      <c r="J32" s="136" t="s">
        <v>1132</v>
      </c>
      <c r="K32" s="160" t="s">
        <v>1132</v>
      </c>
      <c r="N32" s="95"/>
    </row>
    <row r="33" spans="1:14" ht="17.45" customHeight="1">
      <c r="A33" s="586"/>
      <c r="B33" s="34" t="s">
        <v>1133</v>
      </c>
      <c r="C33" s="36" t="s">
        <v>1134</v>
      </c>
      <c r="D33" s="55" t="s">
        <v>44</v>
      </c>
      <c r="E33" s="55" t="s">
        <v>91</v>
      </c>
      <c r="F33" s="36" t="s">
        <v>745</v>
      </c>
      <c r="G33" s="36" t="s">
        <v>1135</v>
      </c>
      <c r="H33" s="55" t="s">
        <v>146</v>
      </c>
      <c r="I33" s="55" t="s">
        <v>167</v>
      </c>
      <c r="J33" s="55" t="s">
        <v>91</v>
      </c>
      <c r="K33" s="155" t="s">
        <v>91</v>
      </c>
      <c r="N33" s="95"/>
    </row>
    <row r="34" spans="1:14" ht="17.45" customHeight="1">
      <c r="A34" s="586"/>
      <c r="B34" s="37" t="s">
        <v>1143</v>
      </c>
      <c r="C34" s="452" t="s">
        <v>1136</v>
      </c>
      <c r="D34" s="60" t="s">
        <v>1494</v>
      </c>
      <c r="E34" s="57" t="s">
        <v>127</v>
      </c>
      <c r="F34" s="38" t="s">
        <v>1081</v>
      </c>
      <c r="G34" s="38" t="s">
        <v>1137</v>
      </c>
      <c r="H34" s="57" t="s">
        <v>103</v>
      </c>
      <c r="I34" s="60" t="s">
        <v>1494</v>
      </c>
      <c r="J34" s="57" t="s">
        <v>146</v>
      </c>
      <c r="K34" s="157" t="s">
        <v>146</v>
      </c>
      <c r="N34" s="95"/>
    </row>
    <row r="35" spans="1:14" ht="17.45" customHeight="1">
      <c r="A35" s="586"/>
      <c r="B35" s="51" t="s">
        <v>1690</v>
      </c>
      <c r="C35" s="456" t="s">
        <v>1140</v>
      </c>
      <c r="D35" s="57" t="s">
        <v>78</v>
      </c>
      <c r="E35" s="57" t="s">
        <v>42</v>
      </c>
      <c r="F35" s="43" t="s">
        <v>1144</v>
      </c>
      <c r="G35" s="38" t="s">
        <v>1139</v>
      </c>
      <c r="H35" s="57" t="s">
        <v>127</v>
      </c>
      <c r="I35" s="57" t="s">
        <v>78</v>
      </c>
      <c r="J35" s="57" t="s">
        <v>127</v>
      </c>
      <c r="K35" s="157" t="s">
        <v>127</v>
      </c>
      <c r="N35" s="95"/>
    </row>
    <row r="36" spans="1:14" ht="17.45" customHeight="1">
      <c r="A36" s="586"/>
      <c r="B36" s="119" t="s">
        <v>864</v>
      </c>
      <c r="C36" s="452" t="s">
        <v>1738</v>
      </c>
      <c r="D36" s="57" t="s">
        <v>147</v>
      </c>
      <c r="E36" s="57" t="s">
        <v>1756</v>
      </c>
      <c r="F36" s="44" t="s">
        <v>1487</v>
      </c>
      <c r="G36" s="87" t="s">
        <v>1653</v>
      </c>
      <c r="H36" s="57" t="s">
        <v>77</v>
      </c>
      <c r="I36" s="57" t="s">
        <v>1142</v>
      </c>
      <c r="J36" s="57" t="s">
        <v>102</v>
      </c>
      <c r="K36" s="157" t="s">
        <v>102</v>
      </c>
      <c r="L36" s="73"/>
      <c r="M36" s="73"/>
      <c r="N36" s="95"/>
    </row>
    <row r="37" spans="1:14" ht="17.45" customHeight="1">
      <c r="A37" s="586"/>
      <c r="B37" s="119" t="s">
        <v>864</v>
      </c>
      <c r="C37" s="38" t="s">
        <v>1317</v>
      </c>
      <c r="D37" s="133"/>
      <c r="E37" s="40"/>
      <c r="F37" s="42" t="s">
        <v>1101</v>
      </c>
      <c r="G37" s="131" t="s">
        <v>864</v>
      </c>
      <c r="H37" s="133"/>
      <c r="I37" s="57" t="s">
        <v>57</v>
      </c>
      <c r="J37" s="57" t="s">
        <v>1664</v>
      </c>
      <c r="K37" s="157" t="s">
        <v>1664</v>
      </c>
      <c r="L37" s="390"/>
      <c r="M37" s="390"/>
      <c r="N37" s="95"/>
    </row>
    <row r="38" spans="1:14" ht="17.45" customHeight="1" thickBot="1">
      <c r="A38" s="586"/>
      <c r="B38" s="150"/>
      <c r="C38" s="124" t="s">
        <v>1568</v>
      </c>
      <c r="D38" s="125"/>
      <c r="E38" s="125"/>
      <c r="F38" s="140"/>
      <c r="G38" s="125"/>
      <c r="H38" s="125"/>
      <c r="I38" s="474" t="s">
        <v>1088</v>
      </c>
      <c r="J38" s="140"/>
      <c r="K38" s="164"/>
      <c r="L38" s="73"/>
      <c r="M38" s="73"/>
      <c r="N38" s="95"/>
    </row>
    <row r="39" spans="1:14" ht="27.95" customHeight="1" thickBot="1">
      <c r="A39" s="587" t="s">
        <v>1145</v>
      </c>
      <c r="B39" s="449" t="s">
        <v>1146</v>
      </c>
      <c r="C39" s="475" t="s">
        <v>1147</v>
      </c>
      <c r="D39" s="476" t="s">
        <v>1148</v>
      </c>
      <c r="E39" s="126" t="s">
        <v>1149</v>
      </c>
      <c r="F39" s="126" t="s">
        <v>1150</v>
      </c>
      <c r="G39" s="127" t="s">
        <v>1151</v>
      </c>
      <c r="H39" s="127" t="s">
        <v>1152</v>
      </c>
      <c r="I39" s="127" t="s">
        <v>1153</v>
      </c>
      <c r="J39" s="136" t="s">
        <v>1154</v>
      </c>
      <c r="K39" s="160" t="s">
        <v>1154</v>
      </c>
      <c r="L39" s="73"/>
      <c r="M39" s="73"/>
      <c r="N39" s="95"/>
    </row>
    <row r="40" spans="1:14" ht="17.45" customHeight="1">
      <c r="A40" s="586"/>
      <c r="B40" s="34" t="s">
        <v>1155</v>
      </c>
      <c r="C40" s="36" t="s">
        <v>1156</v>
      </c>
      <c r="D40" s="36" t="s">
        <v>1137</v>
      </c>
      <c r="E40" s="54" t="s">
        <v>1157</v>
      </c>
      <c r="F40" s="54" t="s">
        <v>1161</v>
      </c>
      <c r="G40" s="36" t="s">
        <v>1143</v>
      </c>
      <c r="H40" s="36" t="s">
        <v>483</v>
      </c>
      <c r="I40" s="480" t="s">
        <v>1169</v>
      </c>
      <c r="J40" s="55" t="s">
        <v>103</v>
      </c>
      <c r="K40" s="155" t="s">
        <v>103</v>
      </c>
      <c r="L40" s="73"/>
      <c r="M40" s="73"/>
      <c r="N40" s="95"/>
    </row>
    <row r="41" spans="1:14" ht="17.45" customHeight="1">
      <c r="A41" s="586"/>
      <c r="B41" s="458" t="s">
        <v>1105</v>
      </c>
      <c r="C41" s="38" t="s">
        <v>745</v>
      </c>
      <c r="D41" s="38" t="s">
        <v>1165</v>
      </c>
      <c r="E41" s="38" t="s">
        <v>1160</v>
      </c>
      <c r="F41" s="42" t="s">
        <v>1171</v>
      </c>
      <c r="G41" s="38" t="s">
        <v>1167</v>
      </c>
      <c r="H41" s="38" t="s">
        <v>1162</v>
      </c>
      <c r="I41" s="43" t="s">
        <v>1119</v>
      </c>
      <c r="J41" s="57" t="s">
        <v>89</v>
      </c>
      <c r="K41" s="157" t="s">
        <v>89</v>
      </c>
      <c r="L41" s="73"/>
      <c r="M41" s="73"/>
      <c r="N41" s="95"/>
    </row>
    <row r="42" spans="1:14" ht="17.45" customHeight="1">
      <c r="A42" s="586"/>
      <c r="B42" s="458" t="s">
        <v>1163</v>
      </c>
      <c r="C42" s="38" t="s">
        <v>1164</v>
      </c>
      <c r="D42" s="131" t="s">
        <v>864</v>
      </c>
      <c r="E42" s="38" t="s">
        <v>1136</v>
      </c>
      <c r="F42" s="43" t="s">
        <v>1166</v>
      </c>
      <c r="G42" s="38" t="s">
        <v>1080</v>
      </c>
      <c r="H42" s="43" t="s">
        <v>1168</v>
      </c>
      <c r="I42" s="456" t="s">
        <v>1535</v>
      </c>
      <c r="J42" s="57" t="s">
        <v>79</v>
      </c>
      <c r="K42" s="157" t="s">
        <v>79</v>
      </c>
      <c r="L42" s="73"/>
      <c r="M42" s="73"/>
      <c r="N42" s="95"/>
    </row>
    <row r="43" spans="1:14" ht="17.45" customHeight="1">
      <c r="A43" s="586"/>
      <c r="B43" s="119" t="s">
        <v>864</v>
      </c>
      <c r="C43" s="46" t="s">
        <v>1793</v>
      </c>
      <c r="D43" s="131" t="s">
        <v>864</v>
      </c>
      <c r="E43" s="469" t="s">
        <v>1648</v>
      </c>
      <c r="F43" s="38" t="s">
        <v>1141</v>
      </c>
      <c r="G43" s="46" t="s">
        <v>1765</v>
      </c>
      <c r="H43" s="44" t="s">
        <v>1138</v>
      </c>
      <c r="I43" s="131" t="s">
        <v>864</v>
      </c>
      <c r="J43" s="57" t="s">
        <v>1553</v>
      </c>
      <c r="K43" s="157" t="s">
        <v>1553</v>
      </c>
      <c r="L43" s="390"/>
      <c r="M43" s="390"/>
      <c r="N43" s="95"/>
    </row>
    <row r="44" spans="1:14" ht="17.45" customHeight="1" thickBot="1">
      <c r="A44" s="586"/>
      <c r="B44" s="143"/>
      <c r="C44" s="140"/>
      <c r="D44" s="140"/>
      <c r="E44" s="140"/>
      <c r="F44" s="124" t="s">
        <v>1158</v>
      </c>
      <c r="G44" s="140"/>
      <c r="H44" s="140"/>
      <c r="I44" s="140"/>
      <c r="J44" s="57" t="s">
        <v>1756</v>
      </c>
      <c r="K44" s="57" t="s">
        <v>1756</v>
      </c>
      <c r="L44" s="73"/>
      <c r="M44" s="73"/>
      <c r="N44" s="95"/>
    </row>
    <row r="45" spans="1:14" ht="27.95" customHeight="1" thickBot="1">
      <c r="A45" s="588" t="s">
        <v>1172</v>
      </c>
      <c r="B45" s="447"/>
      <c r="C45" s="477" t="s">
        <v>1173</v>
      </c>
      <c r="D45" s="127" t="s">
        <v>1174</v>
      </c>
      <c r="E45" s="127" t="s">
        <v>1175</v>
      </c>
      <c r="F45" s="126" t="s">
        <v>1176</v>
      </c>
      <c r="G45" s="127" t="s">
        <v>1177</v>
      </c>
      <c r="H45" s="127" t="s">
        <v>1178</v>
      </c>
      <c r="I45" s="126" t="s">
        <v>1179</v>
      </c>
      <c r="J45" s="478" t="s">
        <v>1180</v>
      </c>
      <c r="K45" s="479" t="s">
        <v>1180</v>
      </c>
      <c r="L45" s="73"/>
      <c r="M45" s="73"/>
      <c r="N45" s="95"/>
    </row>
    <row r="46" spans="1:14" ht="17.45" customHeight="1">
      <c r="A46" s="589"/>
      <c r="B46" s="146"/>
      <c r="C46" s="36" t="s">
        <v>1165</v>
      </c>
      <c r="D46" s="36" t="s">
        <v>1181</v>
      </c>
      <c r="E46" s="36" t="s">
        <v>1182</v>
      </c>
      <c r="F46" s="36" t="s">
        <v>1183</v>
      </c>
      <c r="G46" s="36" t="s">
        <v>1184</v>
      </c>
      <c r="H46" s="36" t="s">
        <v>1189</v>
      </c>
      <c r="I46" s="36" t="s">
        <v>1156</v>
      </c>
      <c r="J46" s="481" t="s">
        <v>1648</v>
      </c>
      <c r="K46" s="482" t="s">
        <v>1648</v>
      </c>
      <c r="L46" s="73"/>
      <c r="M46" s="73"/>
      <c r="N46" s="95"/>
    </row>
    <row r="47" spans="1:14" ht="17.45" customHeight="1">
      <c r="A47" s="589"/>
      <c r="B47" s="147"/>
      <c r="C47" s="38" t="s">
        <v>1135</v>
      </c>
      <c r="D47" s="42" t="s">
        <v>1185</v>
      </c>
      <c r="E47" s="38" t="s">
        <v>1167</v>
      </c>
      <c r="F47" s="44" t="s">
        <v>1186</v>
      </c>
      <c r="G47" s="38" t="s">
        <v>1118</v>
      </c>
      <c r="H47" s="46" t="s">
        <v>1638</v>
      </c>
      <c r="I47" s="38" t="s">
        <v>827</v>
      </c>
      <c r="J47" s="133"/>
      <c r="K47" s="158"/>
      <c r="M47" s="73"/>
      <c r="N47" s="95"/>
    </row>
    <row r="48" spans="1:14" ht="17.45" customHeight="1">
      <c r="A48" s="589"/>
      <c r="B48" s="147"/>
      <c r="C48" s="38" t="s">
        <v>1187</v>
      </c>
      <c r="D48" s="452" t="s">
        <v>1170</v>
      </c>
      <c r="E48" s="452" t="s">
        <v>1188</v>
      </c>
      <c r="F48" s="131" t="s">
        <v>864</v>
      </c>
      <c r="G48" s="38" t="s">
        <v>542</v>
      </c>
      <c r="H48" s="469" t="s">
        <v>1648</v>
      </c>
      <c r="I48" s="38" t="s">
        <v>1190</v>
      </c>
      <c r="J48" s="134"/>
      <c r="K48" s="161"/>
      <c r="L48" s="73"/>
      <c r="M48" s="73"/>
      <c r="N48" s="95"/>
    </row>
    <row r="49" spans="1:14" ht="17.45" customHeight="1">
      <c r="A49" s="589"/>
      <c r="B49" s="147"/>
      <c r="C49" s="40" t="s">
        <v>1193</v>
      </c>
      <c r="D49" s="46" t="s">
        <v>1786</v>
      </c>
      <c r="E49" s="46" t="s">
        <v>1793</v>
      </c>
      <c r="F49" s="131" t="s">
        <v>864</v>
      </c>
      <c r="G49" s="452" t="s">
        <v>1191</v>
      </c>
      <c r="H49" s="131" t="s">
        <v>864</v>
      </c>
      <c r="I49" s="40" t="s">
        <v>1192</v>
      </c>
      <c r="J49" s="134"/>
      <c r="K49" s="161"/>
      <c r="L49" s="390"/>
      <c r="M49" s="390"/>
      <c r="N49" s="95"/>
    </row>
    <row r="50" spans="1:14" ht="17.45" customHeight="1" thickBot="1">
      <c r="A50" s="589"/>
      <c r="B50" s="143"/>
      <c r="C50" s="465" t="s">
        <v>1552</v>
      </c>
      <c r="D50" s="123" t="s">
        <v>864</v>
      </c>
      <c r="E50" s="151" t="s">
        <v>1637</v>
      </c>
      <c r="F50" s="123" t="s">
        <v>864</v>
      </c>
      <c r="G50" s="123" t="s">
        <v>864</v>
      </c>
      <c r="H50" s="123" t="s">
        <v>864</v>
      </c>
      <c r="I50" s="46" t="s">
        <v>1765</v>
      </c>
      <c r="J50" s="135"/>
      <c r="K50" s="162"/>
      <c r="L50" s="73"/>
      <c r="M50" s="73"/>
      <c r="N50" s="95"/>
    </row>
    <row r="51" spans="1:14" ht="27.95" customHeight="1" thickBot="1">
      <c r="A51" s="587" t="s">
        <v>1194</v>
      </c>
      <c r="B51" s="148" t="s">
        <v>1195</v>
      </c>
      <c r="C51" s="148" t="s">
        <v>1196</v>
      </c>
      <c r="D51" s="148" t="s">
        <v>1196</v>
      </c>
      <c r="E51" s="148" t="s">
        <v>1197</v>
      </c>
      <c r="F51" s="148" t="s">
        <v>1197</v>
      </c>
      <c r="G51" s="148" t="s">
        <v>1198</v>
      </c>
      <c r="H51" s="136" t="s">
        <v>1199</v>
      </c>
      <c r="I51" s="145" t="s">
        <v>1200</v>
      </c>
      <c r="J51" s="165" t="s">
        <v>1201</v>
      </c>
      <c r="K51" s="166" t="s">
        <v>1202</v>
      </c>
      <c r="L51" s="73"/>
      <c r="M51" s="73"/>
      <c r="N51" s="95"/>
    </row>
    <row r="52" spans="1:14" ht="17.45" customHeight="1">
      <c r="A52" s="586"/>
      <c r="B52" s="34" t="s">
        <v>1203</v>
      </c>
      <c r="C52" s="36" t="s">
        <v>1204</v>
      </c>
      <c r="D52" s="36" t="s">
        <v>1205</v>
      </c>
      <c r="E52" s="36" t="s">
        <v>1133</v>
      </c>
      <c r="F52" s="36" t="s">
        <v>1207</v>
      </c>
      <c r="G52" s="36" t="s">
        <v>1211</v>
      </c>
      <c r="H52" s="55" t="s">
        <v>128</v>
      </c>
      <c r="I52" s="36" t="s">
        <v>1208</v>
      </c>
      <c r="J52" s="92" t="s">
        <v>716</v>
      </c>
      <c r="K52" s="167" t="s">
        <v>728</v>
      </c>
      <c r="L52" s="73"/>
      <c r="M52" s="73"/>
      <c r="N52" s="95"/>
    </row>
    <row r="53" spans="1:14" ht="17.45" customHeight="1">
      <c r="A53" s="586"/>
      <c r="B53" s="37" t="s">
        <v>1209</v>
      </c>
      <c r="C53" s="38" t="s">
        <v>1182</v>
      </c>
      <c r="D53" s="38" t="s">
        <v>1158</v>
      </c>
      <c r="E53" s="38" t="s">
        <v>1164</v>
      </c>
      <c r="F53" s="38" t="s">
        <v>1210</v>
      </c>
      <c r="G53" s="38" t="s">
        <v>515</v>
      </c>
      <c r="H53" s="60" t="s">
        <v>55</v>
      </c>
      <c r="I53" s="38" t="s">
        <v>1213</v>
      </c>
      <c r="J53" s="62" t="s">
        <v>816</v>
      </c>
      <c r="K53" s="168" t="s">
        <v>1475</v>
      </c>
      <c r="L53" s="73"/>
      <c r="M53" s="73"/>
      <c r="N53" s="95"/>
    </row>
    <row r="54" spans="1:14" ht="17.45" customHeight="1">
      <c r="A54" s="586"/>
      <c r="B54" s="37" t="s">
        <v>483</v>
      </c>
      <c r="C54" s="38" t="s">
        <v>1183</v>
      </c>
      <c r="D54" s="38" t="s">
        <v>1096</v>
      </c>
      <c r="E54" s="38" t="s">
        <v>1165</v>
      </c>
      <c r="F54" s="38" t="s">
        <v>1212</v>
      </c>
      <c r="G54" s="38" t="s">
        <v>1215</v>
      </c>
      <c r="H54" s="48" t="s">
        <v>1088</v>
      </c>
      <c r="I54" s="38" t="s">
        <v>1121</v>
      </c>
      <c r="J54" s="59" t="s">
        <v>667</v>
      </c>
      <c r="K54" s="169" t="s">
        <v>1216</v>
      </c>
      <c r="L54" s="73"/>
      <c r="M54" s="73"/>
      <c r="N54" s="95"/>
    </row>
    <row r="55" spans="1:14" ht="17.45" customHeight="1">
      <c r="A55" s="586"/>
      <c r="B55" s="37" t="s">
        <v>1189</v>
      </c>
      <c r="C55" s="38" t="s">
        <v>1556</v>
      </c>
      <c r="D55" s="38" t="s">
        <v>1221</v>
      </c>
      <c r="E55" s="38" t="s">
        <v>1218</v>
      </c>
      <c r="F55" s="38" t="s">
        <v>1162</v>
      </c>
      <c r="G55" s="40" t="s">
        <v>1219</v>
      </c>
      <c r="H55" s="57" t="s">
        <v>102</v>
      </c>
      <c r="I55" s="43" t="s">
        <v>189</v>
      </c>
      <c r="J55" s="62" t="s">
        <v>842</v>
      </c>
      <c r="K55" s="168" t="s">
        <v>1501</v>
      </c>
      <c r="L55" s="73"/>
      <c r="M55" s="73"/>
      <c r="N55" s="95"/>
    </row>
    <row r="56" spans="1:14" ht="17.45" customHeight="1">
      <c r="A56" s="586"/>
      <c r="B56" s="37" t="s">
        <v>1217</v>
      </c>
      <c r="C56" s="38" t="s">
        <v>1121</v>
      </c>
      <c r="D56" s="38" t="s">
        <v>1167</v>
      </c>
      <c r="E56" s="38" t="s">
        <v>1222</v>
      </c>
      <c r="F56" s="38" t="s">
        <v>1103</v>
      </c>
      <c r="G56" s="40" t="s">
        <v>1223</v>
      </c>
      <c r="H56" s="57" t="s">
        <v>1550</v>
      </c>
      <c r="I56" s="42" t="s">
        <v>1485</v>
      </c>
      <c r="J56" s="58" t="s">
        <v>1497</v>
      </c>
      <c r="K56" s="158"/>
      <c r="L56" s="73"/>
      <c r="N56" s="95"/>
    </row>
    <row r="57" spans="1:14" ht="17.45" customHeight="1">
      <c r="A57" s="586"/>
      <c r="B57" s="37" t="s">
        <v>1220</v>
      </c>
      <c r="C57" s="43" t="s">
        <v>1081</v>
      </c>
      <c r="D57" s="42" t="s">
        <v>1192</v>
      </c>
      <c r="E57" s="38" t="s">
        <v>178</v>
      </c>
      <c r="F57" s="38" t="s">
        <v>1155</v>
      </c>
      <c r="G57" s="38" t="s">
        <v>1208</v>
      </c>
      <c r="H57" s="133"/>
      <c r="I57" s="133"/>
      <c r="J57" s="58" t="s">
        <v>1471</v>
      </c>
      <c r="K57" s="158"/>
      <c r="L57" s="73"/>
      <c r="N57" s="95"/>
    </row>
    <row r="58" spans="1:14" ht="17.45" customHeight="1">
      <c r="A58" s="586"/>
      <c r="B58" s="37" t="s">
        <v>1224</v>
      </c>
      <c r="C58" s="43" t="s">
        <v>1144</v>
      </c>
      <c r="D58" s="43" t="s">
        <v>1230</v>
      </c>
      <c r="E58" s="43" t="s">
        <v>1169</v>
      </c>
      <c r="F58" s="43" t="s">
        <v>1225</v>
      </c>
      <c r="G58" s="38" t="s">
        <v>1086</v>
      </c>
      <c r="H58" s="133"/>
      <c r="I58" s="133"/>
      <c r="J58" s="62" t="s">
        <v>669</v>
      </c>
      <c r="K58" s="158"/>
      <c r="L58" s="73"/>
      <c r="M58" s="73"/>
      <c r="N58" s="95"/>
    </row>
    <row r="59" spans="1:14" ht="17.45" customHeight="1">
      <c r="A59" s="586"/>
      <c r="B59" s="47" t="s">
        <v>1136</v>
      </c>
      <c r="C59" s="42" t="s">
        <v>1101</v>
      </c>
      <c r="D59" s="38" t="s">
        <v>1233</v>
      </c>
      <c r="E59" s="43" t="s">
        <v>1227</v>
      </c>
      <c r="F59" s="43" t="s">
        <v>189</v>
      </c>
      <c r="G59" s="456" t="s">
        <v>1228</v>
      </c>
      <c r="H59" s="133"/>
      <c r="I59" s="40"/>
      <c r="J59" s="62" t="s">
        <v>1501</v>
      </c>
      <c r="K59" s="158"/>
      <c r="L59" s="73"/>
      <c r="M59" s="73"/>
      <c r="N59" s="95"/>
    </row>
    <row r="60" spans="1:14" ht="17.45" customHeight="1">
      <c r="A60" s="586"/>
      <c r="B60" s="47" t="s">
        <v>1226</v>
      </c>
      <c r="C60" s="42" t="s">
        <v>1232</v>
      </c>
      <c r="D60" s="40" t="s">
        <v>1193</v>
      </c>
      <c r="E60" s="66" t="s">
        <v>301</v>
      </c>
      <c r="F60" s="43" t="s">
        <v>1119</v>
      </c>
      <c r="G60" s="456" t="s">
        <v>1231</v>
      </c>
      <c r="H60" s="133"/>
      <c r="I60" s="40"/>
      <c r="J60" s="40"/>
      <c r="K60" s="158"/>
      <c r="L60" s="73"/>
      <c r="M60" s="73"/>
      <c r="N60" s="95"/>
    </row>
    <row r="61" spans="1:14" ht="17.45" customHeight="1">
      <c r="A61" s="586"/>
      <c r="B61" s="149" t="s">
        <v>1574</v>
      </c>
      <c r="C61" s="456" t="s">
        <v>1102</v>
      </c>
      <c r="D61" s="435" t="s">
        <v>1546</v>
      </c>
      <c r="E61" s="435" t="s">
        <v>1605</v>
      </c>
      <c r="F61" s="44" t="s">
        <v>1234</v>
      </c>
      <c r="G61" s="456" t="s">
        <v>1235</v>
      </c>
      <c r="H61" s="133"/>
      <c r="I61" s="134"/>
      <c r="J61" s="40"/>
      <c r="K61" s="158"/>
      <c r="L61" s="73"/>
      <c r="M61" s="73"/>
      <c r="N61" s="95"/>
    </row>
    <row r="62" spans="1:14" ht="17.45" customHeight="1">
      <c r="A62" s="586"/>
      <c r="B62" s="37" t="s">
        <v>1087</v>
      </c>
      <c r="C62" s="44" t="s">
        <v>1487</v>
      </c>
      <c r="D62" s="46" t="s">
        <v>1793</v>
      </c>
      <c r="E62" s="456" t="s">
        <v>1237</v>
      </c>
      <c r="F62" s="44" t="s">
        <v>1138</v>
      </c>
      <c r="G62" s="42" t="s">
        <v>1485</v>
      </c>
      <c r="H62" s="133"/>
      <c r="I62" s="40"/>
      <c r="J62" s="40"/>
      <c r="K62" s="86"/>
      <c r="L62" s="73"/>
      <c r="M62" s="73"/>
      <c r="N62" s="95"/>
    </row>
    <row r="63" spans="1:14" ht="17.45" customHeight="1">
      <c r="A63" s="586"/>
      <c r="B63" s="45" t="s">
        <v>1236</v>
      </c>
      <c r="C63" s="46" t="s">
        <v>1765</v>
      </c>
      <c r="D63" s="46" t="s">
        <v>1690</v>
      </c>
      <c r="E63" s="46" t="s">
        <v>1627</v>
      </c>
      <c r="F63" s="46" t="s">
        <v>1787</v>
      </c>
      <c r="G63" s="43" t="s">
        <v>1166</v>
      </c>
      <c r="H63" s="133"/>
      <c r="I63" s="40"/>
      <c r="J63" s="40"/>
      <c r="K63" s="86"/>
      <c r="L63" s="73"/>
      <c r="M63" s="73"/>
      <c r="N63" s="95"/>
    </row>
    <row r="64" spans="1:14" ht="17.45" customHeight="1" thickBot="1">
      <c r="A64" s="586"/>
      <c r="B64" s="334" t="s">
        <v>1488</v>
      </c>
      <c r="C64" s="123" t="s">
        <v>864</v>
      </c>
      <c r="D64" s="151" t="s">
        <v>1696</v>
      </c>
      <c r="E64" s="123" t="s">
        <v>864</v>
      </c>
      <c r="F64" s="123" t="s">
        <v>864</v>
      </c>
      <c r="G64" s="123" t="s">
        <v>864</v>
      </c>
      <c r="H64" s="140"/>
      <c r="I64" s="125"/>
      <c r="J64" s="125"/>
      <c r="K64" s="170"/>
      <c r="L64" s="73"/>
      <c r="M64" s="73"/>
      <c r="N64" s="95"/>
    </row>
    <row r="65" spans="1:14" ht="27.95" customHeight="1" thickBot="1">
      <c r="A65" s="590" t="s">
        <v>1238</v>
      </c>
      <c r="B65" s="148" t="s">
        <v>1239</v>
      </c>
      <c r="C65" s="148" t="s">
        <v>1239</v>
      </c>
      <c r="D65" s="148" t="s">
        <v>1239</v>
      </c>
      <c r="E65" s="148" t="s">
        <v>1239</v>
      </c>
      <c r="F65" s="148" t="s">
        <v>1239</v>
      </c>
      <c r="G65" s="148" t="s">
        <v>1239</v>
      </c>
      <c r="H65" s="126" t="s">
        <v>1240</v>
      </c>
      <c r="I65" s="128" t="s">
        <v>1241</v>
      </c>
      <c r="J65" s="165" t="s">
        <v>1242</v>
      </c>
      <c r="K65" s="166" t="s">
        <v>1243</v>
      </c>
      <c r="L65" s="73"/>
      <c r="M65" s="73"/>
      <c r="N65" s="95"/>
    </row>
    <row r="66" spans="1:14" ht="17.45" customHeight="1">
      <c r="A66" s="591"/>
      <c r="B66" s="152" t="s">
        <v>1157</v>
      </c>
      <c r="C66" s="36" t="s">
        <v>1083</v>
      </c>
      <c r="D66" s="36" t="s">
        <v>1246</v>
      </c>
      <c r="E66" s="54" t="s">
        <v>734</v>
      </c>
      <c r="F66" s="36" t="s">
        <v>1134</v>
      </c>
      <c r="G66" s="36" t="s">
        <v>1245</v>
      </c>
      <c r="H66" s="36" t="s">
        <v>1250</v>
      </c>
      <c r="I66" s="36" t="s">
        <v>1099</v>
      </c>
      <c r="J66" s="92" t="s">
        <v>898</v>
      </c>
      <c r="K66" s="192" t="s">
        <v>675</v>
      </c>
      <c r="M66" s="73"/>
      <c r="N66" s="95"/>
    </row>
    <row r="67" spans="1:14" ht="17.45" customHeight="1">
      <c r="A67" s="591"/>
      <c r="B67" s="37" t="s">
        <v>1156</v>
      </c>
      <c r="C67" s="43" t="s">
        <v>1257</v>
      </c>
      <c r="D67" s="38" t="s">
        <v>1082</v>
      </c>
      <c r="E67" s="38" t="s">
        <v>1204</v>
      </c>
      <c r="F67" s="38" t="s">
        <v>1248</v>
      </c>
      <c r="G67" s="38" t="s">
        <v>1160</v>
      </c>
      <c r="H67" s="65" t="s">
        <v>825</v>
      </c>
      <c r="I67" s="40" t="s">
        <v>1492</v>
      </c>
      <c r="J67" s="59" t="s">
        <v>732</v>
      </c>
      <c r="K67" s="168" t="s">
        <v>1252</v>
      </c>
      <c r="M67" s="73"/>
      <c r="N67" s="95"/>
    </row>
    <row r="68" spans="1:14" ht="17.45" customHeight="1">
      <c r="A68" s="591"/>
      <c r="B68" s="37" t="s">
        <v>1247</v>
      </c>
      <c r="C68" s="43" t="s">
        <v>1262</v>
      </c>
      <c r="D68" s="38" t="s">
        <v>1190</v>
      </c>
      <c r="E68" s="38" t="s">
        <v>1184</v>
      </c>
      <c r="F68" s="38" t="s">
        <v>1250</v>
      </c>
      <c r="G68" s="38" t="s">
        <v>1249</v>
      </c>
      <c r="H68" s="42" t="s">
        <v>1171</v>
      </c>
      <c r="I68" s="184" t="s">
        <v>1254</v>
      </c>
      <c r="J68" s="62" t="s">
        <v>1475</v>
      </c>
      <c r="K68" s="168" t="s">
        <v>669</v>
      </c>
      <c r="M68" s="73"/>
      <c r="N68" s="95"/>
    </row>
    <row r="69" spans="1:14" ht="17.45" customHeight="1">
      <c r="A69" s="591"/>
      <c r="B69" s="37" t="s">
        <v>1253</v>
      </c>
      <c r="C69" s="43" t="s">
        <v>1265</v>
      </c>
      <c r="D69" s="43" t="s">
        <v>1258</v>
      </c>
      <c r="E69" s="43" t="s">
        <v>827</v>
      </c>
      <c r="F69" s="44" t="s">
        <v>1491</v>
      </c>
      <c r="G69" s="38" t="s">
        <v>1213</v>
      </c>
      <c r="H69" s="452" t="s">
        <v>1188</v>
      </c>
      <c r="I69" s="42" t="s">
        <v>1260</v>
      </c>
      <c r="J69" s="59" t="s">
        <v>1255</v>
      </c>
      <c r="K69" s="168" t="s">
        <v>1527</v>
      </c>
      <c r="M69" s="73"/>
      <c r="N69" s="95"/>
    </row>
    <row r="70" spans="1:14" ht="17.45" customHeight="1">
      <c r="A70" s="591"/>
      <c r="B70" s="47" t="s">
        <v>1256</v>
      </c>
      <c r="C70" s="43" t="s">
        <v>1141</v>
      </c>
      <c r="D70" s="43" t="s">
        <v>1118</v>
      </c>
      <c r="E70" s="43" t="s">
        <v>1263</v>
      </c>
      <c r="F70" s="44" t="s">
        <v>1107</v>
      </c>
      <c r="G70" s="38" t="s">
        <v>1104</v>
      </c>
      <c r="H70" s="435" t="s">
        <v>1316</v>
      </c>
      <c r="I70" s="468" t="s">
        <v>1730</v>
      </c>
      <c r="J70" s="58" t="s">
        <v>1318</v>
      </c>
      <c r="K70" s="158"/>
      <c r="M70" s="73"/>
      <c r="N70" s="95"/>
    </row>
    <row r="71" spans="1:14" ht="17.45" customHeight="1">
      <c r="A71" s="591"/>
      <c r="B71" s="47" t="s">
        <v>1261</v>
      </c>
      <c r="C71" s="43" t="s">
        <v>1211</v>
      </c>
      <c r="D71" s="43" t="s">
        <v>1267</v>
      </c>
      <c r="E71" s="43" t="s">
        <v>1266</v>
      </c>
      <c r="F71" s="456" t="s">
        <v>1268</v>
      </c>
      <c r="G71" s="42" t="s">
        <v>1171</v>
      </c>
      <c r="H71" s="133"/>
      <c r="J71" s="133"/>
      <c r="K71" s="77"/>
      <c r="M71" s="73"/>
      <c r="N71" s="95"/>
    </row>
    <row r="72" spans="1:14" ht="17.45" customHeight="1">
      <c r="A72" s="591"/>
      <c r="B72" s="68" t="s">
        <v>1264</v>
      </c>
      <c r="C72" s="38" t="s">
        <v>1143</v>
      </c>
      <c r="D72" s="42" t="s">
        <v>1161</v>
      </c>
      <c r="E72" s="43" t="s">
        <v>1168</v>
      </c>
      <c r="F72" s="456" t="s">
        <v>1140</v>
      </c>
      <c r="G72" s="456" t="s">
        <v>1269</v>
      </c>
      <c r="H72" s="133"/>
      <c r="I72" s="133"/>
      <c r="J72" s="38"/>
      <c r="K72" s="77"/>
      <c r="M72" s="73"/>
      <c r="N72" s="95"/>
    </row>
    <row r="73" spans="1:14" ht="17.45" customHeight="1">
      <c r="A73" s="591"/>
      <c r="B73" s="37" t="s">
        <v>1214</v>
      </c>
      <c r="C73" s="456" t="s">
        <v>1274</v>
      </c>
      <c r="D73" s="43" t="s">
        <v>1270</v>
      </c>
      <c r="E73" s="42" t="s">
        <v>1185</v>
      </c>
      <c r="F73" s="456" t="s">
        <v>1163</v>
      </c>
      <c r="G73" s="456" t="s">
        <v>1271</v>
      </c>
      <c r="H73" s="38"/>
      <c r="I73" s="133"/>
      <c r="J73" s="38"/>
      <c r="K73" s="77"/>
      <c r="M73" s="73"/>
      <c r="N73" s="95"/>
    </row>
    <row r="74" spans="1:14" ht="17.45" customHeight="1">
      <c r="A74" s="591"/>
      <c r="B74" s="51" t="s">
        <v>1632</v>
      </c>
      <c r="C74" s="44" t="s">
        <v>1487</v>
      </c>
      <c r="D74" s="456" t="s">
        <v>1272</v>
      </c>
      <c r="E74" s="44" t="s">
        <v>1108</v>
      </c>
      <c r="F74" s="456" t="s">
        <v>1120</v>
      </c>
      <c r="G74" s="452" t="s">
        <v>1170</v>
      </c>
      <c r="H74" s="38"/>
      <c r="I74" s="38"/>
      <c r="J74" s="133"/>
      <c r="K74" s="77"/>
      <c r="M74" s="73"/>
      <c r="N74" s="95"/>
    </row>
    <row r="75" spans="1:14" ht="17.45" customHeight="1">
      <c r="A75" s="591"/>
      <c r="B75" s="51" t="s">
        <v>1638</v>
      </c>
      <c r="C75" s="46" t="s">
        <v>1637</v>
      </c>
      <c r="D75" s="456" t="s">
        <v>1273</v>
      </c>
      <c r="E75" s="44" t="s">
        <v>159</v>
      </c>
      <c r="F75" s="46" t="s">
        <v>1777</v>
      </c>
      <c r="G75" s="435" t="s">
        <v>1316</v>
      </c>
      <c r="H75" s="38"/>
      <c r="I75" s="38"/>
      <c r="J75" s="38"/>
      <c r="K75" s="77"/>
      <c r="L75" s="73"/>
      <c r="M75" s="73"/>
      <c r="N75" s="95"/>
    </row>
    <row r="76" spans="1:14" ht="17.45" customHeight="1">
      <c r="A76" s="591"/>
      <c r="B76" s="51" t="s">
        <v>1660</v>
      </c>
      <c r="C76" s="131" t="s">
        <v>864</v>
      </c>
      <c r="D76" s="452" t="s">
        <v>1188</v>
      </c>
      <c r="E76" s="46" t="s">
        <v>1610</v>
      </c>
      <c r="F76" s="46" t="s">
        <v>1643</v>
      </c>
      <c r="G76" s="46" t="s">
        <v>1616</v>
      </c>
      <c r="H76" s="38"/>
      <c r="I76" s="38"/>
      <c r="J76" s="38"/>
      <c r="K76" s="77"/>
      <c r="L76" s="73"/>
      <c r="M76" s="73"/>
      <c r="N76" s="95"/>
    </row>
    <row r="77" spans="1:14" ht="17.45" customHeight="1">
      <c r="A77" s="591"/>
      <c r="B77" s="51" t="s">
        <v>1676</v>
      </c>
      <c r="C77" s="131" t="s">
        <v>864</v>
      </c>
      <c r="D77" s="456" t="s">
        <v>1535</v>
      </c>
      <c r="E77" s="46" t="s">
        <v>1669</v>
      </c>
      <c r="F77" s="46" t="s">
        <v>1729</v>
      </c>
      <c r="G77" s="46" t="s">
        <v>1622</v>
      </c>
      <c r="H77" s="38"/>
      <c r="I77" s="38"/>
      <c r="J77" s="38"/>
      <c r="K77" s="77"/>
      <c r="L77" s="73"/>
      <c r="M77" s="73"/>
      <c r="N77" s="95"/>
    </row>
    <row r="78" spans="1:14" ht="17.45" customHeight="1" thickBot="1">
      <c r="A78" s="591"/>
      <c r="B78" s="483" t="s">
        <v>1720</v>
      </c>
      <c r="C78" s="123" t="s">
        <v>864</v>
      </c>
      <c r="D78" s="123" t="s">
        <v>864</v>
      </c>
      <c r="E78" s="123" t="s">
        <v>864</v>
      </c>
      <c r="F78" s="123" t="s">
        <v>864</v>
      </c>
      <c r="G78" s="151" t="s">
        <v>1710</v>
      </c>
      <c r="H78" s="124"/>
      <c r="I78" s="124"/>
      <c r="J78" s="124"/>
      <c r="K78" s="159"/>
      <c r="L78" s="73"/>
      <c r="M78" s="73"/>
      <c r="N78" s="95"/>
    </row>
    <row r="79" spans="1:14" ht="27.95" customHeight="1" thickBot="1">
      <c r="A79" s="586" t="s">
        <v>1275</v>
      </c>
      <c r="B79" s="171" t="s">
        <v>1276</v>
      </c>
      <c r="C79" s="127" t="s">
        <v>1277</v>
      </c>
      <c r="D79" s="128" t="s">
        <v>1278</v>
      </c>
      <c r="E79" s="127" t="s">
        <v>1279</v>
      </c>
      <c r="F79" s="126" t="s">
        <v>1280</v>
      </c>
      <c r="G79" s="128" t="s">
        <v>1281</v>
      </c>
      <c r="H79" s="128" t="s">
        <v>1282</v>
      </c>
      <c r="I79" s="185" t="s">
        <v>1283</v>
      </c>
      <c r="J79" s="165" t="s">
        <v>1284</v>
      </c>
      <c r="K79" s="166" t="s">
        <v>1285</v>
      </c>
      <c r="L79" s="73"/>
      <c r="M79" s="73"/>
      <c r="N79" s="95"/>
    </row>
    <row r="80" spans="1:14" ht="17.45" customHeight="1">
      <c r="A80" s="586"/>
      <c r="B80" s="396" t="s">
        <v>1263</v>
      </c>
      <c r="C80" s="36" t="s">
        <v>1217</v>
      </c>
      <c r="D80" s="332" t="s">
        <v>1260</v>
      </c>
      <c r="E80" s="36" t="s">
        <v>1117</v>
      </c>
      <c r="F80" s="36" t="s">
        <v>1096</v>
      </c>
      <c r="G80" s="36" t="s">
        <v>1183</v>
      </c>
      <c r="H80" s="36" t="s">
        <v>515</v>
      </c>
      <c r="I80" s="332" t="s">
        <v>1287</v>
      </c>
      <c r="J80" s="186" t="s">
        <v>1124</v>
      </c>
      <c r="K80" s="187" t="s">
        <v>1124</v>
      </c>
      <c r="L80" s="73"/>
      <c r="M80" s="73"/>
      <c r="N80" s="95"/>
    </row>
    <row r="81" spans="1:14" ht="17.45" customHeight="1">
      <c r="A81" s="586"/>
      <c r="B81" s="149" t="s">
        <v>1234</v>
      </c>
      <c r="C81" s="40" t="s">
        <v>734</v>
      </c>
      <c r="D81" s="87" t="s">
        <v>1653</v>
      </c>
      <c r="E81" s="40" t="s">
        <v>1288</v>
      </c>
      <c r="F81" s="38" t="s">
        <v>1221</v>
      </c>
      <c r="G81" s="38" t="s">
        <v>1286</v>
      </c>
      <c r="H81" s="38" t="s">
        <v>1139</v>
      </c>
      <c r="I81" s="456" t="s">
        <v>1235</v>
      </c>
      <c r="J81" s="87" t="s">
        <v>1653</v>
      </c>
      <c r="K81" s="484" t="s">
        <v>1653</v>
      </c>
      <c r="L81" s="73"/>
      <c r="M81" s="73"/>
      <c r="N81" s="95"/>
    </row>
    <row r="82" spans="1:14" ht="17.45" customHeight="1">
      <c r="A82" s="586"/>
      <c r="B82" s="149" t="s">
        <v>1498</v>
      </c>
      <c r="C82" s="138" t="s">
        <v>1122</v>
      </c>
      <c r="D82" s="131" t="s">
        <v>864</v>
      </c>
      <c r="E82" s="456" t="s">
        <v>1274</v>
      </c>
      <c r="F82" s="38" t="s">
        <v>178</v>
      </c>
      <c r="G82" s="131" t="s">
        <v>864</v>
      </c>
      <c r="H82" s="42" t="s">
        <v>1159</v>
      </c>
      <c r="I82" s="38" t="s">
        <v>1134</v>
      </c>
      <c r="J82" s="133"/>
      <c r="K82" s="158"/>
      <c r="L82" s="73"/>
      <c r="M82" s="73"/>
      <c r="N82" s="95"/>
    </row>
    <row r="83" spans="1:14" ht="17.45" customHeight="1">
      <c r="A83" s="586"/>
      <c r="B83" s="458" t="s">
        <v>1140</v>
      </c>
      <c r="C83" s="456" t="s">
        <v>1535</v>
      </c>
      <c r="D83" s="131" t="s">
        <v>864</v>
      </c>
      <c r="E83" s="452" t="s">
        <v>1170</v>
      </c>
      <c r="F83" s="38" t="s">
        <v>1224</v>
      </c>
      <c r="G83" s="131" t="s">
        <v>864</v>
      </c>
      <c r="H83" s="46" t="s">
        <v>1766</v>
      </c>
      <c r="I83" s="46" t="s">
        <v>1702</v>
      </c>
      <c r="J83" s="133"/>
      <c r="K83" s="158"/>
      <c r="L83" s="73"/>
      <c r="M83" s="73"/>
      <c r="N83" s="95"/>
    </row>
    <row r="84" spans="1:14" ht="17.45" customHeight="1">
      <c r="A84" s="586"/>
      <c r="B84" s="51" t="s">
        <v>1669</v>
      </c>
      <c r="C84" s="435" t="s">
        <v>1546</v>
      </c>
      <c r="D84" s="131" t="s">
        <v>864</v>
      </c>
      <c r="E84" s="46" t="s">
        <v>1777</v>
      </c>
      <c r="F84" s="456" t="s">
        <v>1228</v>
      </c>
      <c r="G84" s="131" t="s">
        <v>864</v>
      </c>
      <c r="H84" s="46" t="s">
        <v>1676</v>
      </c>
      <c r="I84" s="131" t="s">
        <v>864</v>
      </c>
      <c r="J84" s="133"/>
      <c r="K84" s="158"/>
      <c r="L84" s="73"/>
      <c r="M84" s="73"/>
      <c r="N84" s="95"/>
    </row>
    <row r="85" spans="1:14" ht="17.45" customHeight="1" thickBot="1">
      <c r="A85" s="586"/>
      <c r="B85" s="483" t="s">
        <v>1684</v>
      </c>
      <c r="C85" s="151" t="s">
        <v>1616</v>
      </c>
      <c r="D85" s="123" t="s">
        <v>864</v>
      </c>
      <c r="E85" s="151" t="s">
        <v>1622</v>
      </c>
      <c r="F85" s="465" t="s">
        <v>1084</v>
      </c>
      <c r="G85" s="123" t="s">
        <v>864</v>
      </c>
      <c r="H85" s="123" t="s">
        <v>864</v>
      </c>
      <c r="I85" s="123" t="s">
        <v>864</v>
      </c>
      <c r="J85" s="140"/>
      <c r="K85" s="162"/>
      <c r="L85" s="73"/>
      <c r="M85" s="73"/>
      <c r="N85" s="95"/>
    </row>
    <row r="86" spans="1:14" ht="27.95" customHeight="1" thickBot="1">
      <c r="A86" s="590" t="s">
        <v>1289</v>
      </c>
      <c r="B86" s="127" t="s">
        <v>1290</v>
      </c>
      <c r="C86" s="127" t="s">
        <v>1291</v>
      </c>
      <c r="D86" s="127" t="s">
        <v>1292</v>
      </c>
      <c r="E86" s="127" t="s">
        <v>1293</v>
      </c>
      <c r="F86" s="127" t="s">
        <v>1294</v>
      </c>
      <c r="G86" s="165" t="s">
        <v>1295</v>
      </c>
      <c r="H86" s="127" t="s">
        <v>1296</v>
      </c>
      <c r="I86" s="127" t="s">
        <v>1297</v>
      </c>
      <c r="J86" s="165" t="s">
        <v>1298</v>
      </c>
      <c r="K86" s="166" t="s">
        <v>1299</v>
      </c>
      <c r="L86" s="73"/>
      <c r="M86" s="73"/>
      <c r="N86" s="95"/>
    </row>
    <row r="87" spans="1:14" ht="17.45" customHeight="1">
      <c r="A87" s="591"/>
      <c r="B87" s="34" t="s">
        <v>1244</v>
      </c>
      <c r="C87" s="36" t="s">
        <v>827</v>
      </c>
      <c r="D87" s="36" t="s">
        <v>1300</v>
      </c>
      <c r="E87" s="36" t="s">
        <v>1247</v>
      </c>
      <c r="F87" s="36" t="s">
        <v>1263</v>
      </c>
      <c r="G87" s="92" t="s">
        <v>674</v>
      </c>
      <c r="H87" s="36" t="s">
        <v>1209</v>
      </c>
      <c r="I87" s="332" t="s">
        <v>1232</v>
      </c>
      <c r="J87" s="92" t="s">
        <v>657</v>
      </c>
      <c r="K87" s="167" t="s">
        <v>674</v>
      </c>
      <c r="L87" s="73"/>
      <c r="M87" s="73"/>
      <c r="N87" s="95"/>
    </row>
    <row r="88" spans="1:14" ht="17.45" customHeight="1">
      <c r="A88" s="591"/>
      <c r="B88" s="37" t="s">
        <v>1258</v>
      </c>
      <c r="C88" s="38" t="s">
        <v>542</v>
      </c>
      <c r="D88" s="38" t="s">
        <v>1226</v>
      </c>
      <c r="E88" s="38" t="s">
        <v>1083</v>
      </c>
      <c r="F88" s="38" t="s">
        <v>1246</v>
      </c>
      <c r="G88" s="62" t="s">
        <v>816</v>
      </c>
      <c r="H88" s="38" t="s">
        <v>1266</v>
      </c>
      <c r="I88" s="44" t="s">
        <v>1491</v>
      </c>
      <c r="J88" s="62" t="s">
        <v>1499</v>
      </c>
      <c r="K88" s="168" t="s">
        <v>1301</v>
      </c>
      <c r="L88" s="73"/>
      <c r="M88" s="73"/>
      <c r="N88" s="95"/>
    </row>
    <row r="89" spans="1:14" ht="17.45" customHeight="1">
      <c r="A89" s="591"/>
      <c r="B89" s="37" t="s">
        <v>1221</v>
      </c>
      <c r="C89" s="38" t="s">
        <v>1190</v>
      </c>
      <c r="D89" s="38" t="s">
        <v>1162</v>
      </c>
      <c r="E89" s="38" t="s">
        <v>1754</v>
      </c>
      <c r="F89" s="43" t="s">
        <v>1227</v>
      </c>
      <c r="G89" s="62" t="s">
        <v>842</v>
      </c>
      <c r="H89" s="38" t="s">
        <v>1248</v>
      </c>
      <c r="I89" s="38" t="s">
        <v>1098</v>
      </c>
      <c r="J89" s="58" t="s">
        <v>802</v>
      </c>
      <c r="K89" s="168" t="s">
        <v>816</v>
      </c>
      <c r="L89" s="73"/>
      <c r="M89" s="73"/>
      <c r="N89" s="95"/>
    </row>
    <row r="90" spans="1:14" ht="17.45" customHeight="1">
      <c r="A90" s="591"/>
      <c r="B90" s="37" t="s">
        <v>178</v>
      </c>
      <c r="C90" s="43" t="s">
        <v>1212</v>
      </c>
      <c r="D90" s="38" t="s">
        <v>1213</v>
      </c>
      <c r="E90" s="40" t="s">
        <v>1193</v>
      </c>
      <c r="F90" s="87" t="s">
        <v>1124</v>
      </c>
      <c r="G90" s="62" t="s">
        <v>1501</v>
      </c>
      <c r="H90" s="38" t="s">
        <v>1249</v>
      </c>
      <c r="I90" s="46" t="s">
        <v>1720</v>
      </c>
      <c r="J90" s="58" t="s">
        <v>715</v>
      </c>
      <c r="K90" s="168" t="s">
        <v>842</v>
      </c>
      <c r="L90" s="73"/>
      <c r="M90" s="73"/>
      <c r="N90" s="95"/>
    </row>
    <row r="91" spans="1:14" ht="17.45" customHeight="1">
      <c r="A91" s="591"/>
      <c r="B91" s="51" t="s">
        <v>1637</v>
      </c>
      <c r="C91" s="43" t="s">
        <v>1166</v>
      </c>
      <c r="D91" s="40" t="s">
        <v>1236</v>
      </c>
      <c r="E91" s="42" t="s">
        <v>1485</v>
      </c>
      <c r="F91" s="38" t="s">
        <v>1745</v>
      </c>
      <c r="G91" s="443" t="s">
        <v>1772</v>
      </c>
      <c r="H91" s="38" t="s">
        <v>1259</v>
      </c>
      <c r="I91" s="131" t="s">
        <v>864</v>
      </c>
      <c r="J91" s="62" t="s">
        <v>842</v>
      </c>
      <c r="K91" s="169" t="s">
        <v>696</v>
      </c>
      <c r="L91" s="73"/>
      <c r="M91" s="73"/>
      <c r="N91" s="95"/>
    </row>
    <row r="92" spans="1:14" ht="17.45" customHeight="1">
      <c r="A92" s="591"/>
      <c r="B92" s="51" t="s">
        <v>1696</v>
      </c>
      <c r="C92" s="50" t="s">
        <v>1305</v>
      </c>
      <c r="D92" s="456" t="s">
        <v>1237</v>
      </c>
      <c r="E92" s="38" t="s">
        <v>1551</v>
      </c>
      <c r="F92" s="40" t="s">
        <v>734</v>
      </c>
      <c r="G92" s="58" t="s">
        <v>1500</v>
      </c>
      <c r="H92" s="38" t="s">
        <v>1087</v>
      </c>
      <c r="I92" s="131" t="s">
        <v>864</v>
      </c>
      <c r="J92" s="62" t="s">
        <v>703</v>
      </c>
      <c r="K92" s="485" t="s">
        <v>1585</v>
      </c>
      <c r="L92" s="73"/>
      <c r="M92" s="73"/>
      <c r="N92" s="95"/>
    </row>
    <row r="93" spans="1:14" ht="17.45" customHeight="1">
      <c r="A93" s="591"/>
      <c r="B93" s="172"/>
      <c r="C93" s="173"/>
      <c r="D93" s="133"/>
      <c r="E93" s="452" t="s">
        <v>1428</v>
      </c>
      <c r="F93" s="38" t="s">
        <v>1270</v>
      </c>
      <c r="G93" s="134"/>
      <c r="H93" s="133"/>
      <c r="I93" s="133"/>
      <c r="J93" s="444" t="s">
        <v>1585</v>
      </c>
      <c r="K93" s="443" t="s">
        <v>1772</v>
      </c>
      <c r="L93" s="73"/>
      <c r="M93" s="73"/>
      <c r="N93" s="95"/>
    </row>
    <row r="94" spans="1:14" ht="17.45" customHeight="1" thickBot="1">
      <c r="A94" s="591"/>
      <c r="B94" s="174"/>
      <c r="C94" s="135"/>
      <c r="D94" s="140"/>
      <c r="E94" s="140"/>
      <c r="F94" s="140"/>
      <c r="G94" s="135"/>
      <c r="H94" s="188"/>
      <c r="I94" s="188"/>
      <c r="J94" s="443" t="s">
        <v>1772</v>
      </c>
      <c r="K94" s="164"/>
      <c r="L94" s="73"/>
      <c r="M94" s="73"/>
      <c r="N94" s="95"/>
    </row>
    <row r="95" spans="1:14" ht="27" customHeight="1" thickBot="1">
      <c r="A95" s="592" t="s">
        <v>1306</v>
      </c>
      <c r="B95" s="165" t="s">
        <v>1307</v>
      </c>
      <c r="C95" s="165" t="s">
        <v>1308</v>
      </c>
      <c r="D95" s="137"/>
      <c r="E95" s="165" t="s">
        <v>1309</v>
      </c>
      <c r="F95" s="165" t="s">
        <v>1308</v>
      </c>
      <c r="G95" s="165" t="s">
        <v>1310</v>
      </c>
      <c r="H95" s="127" t="s">
        <v>1311</v>
      </c>
      <c r="I95" s="127" t="s">
        <v>1312</v>
      </c>
      <c r="J95" s="165" t="s">
        <v>1313</v>
      </c>
      <c r="K95" s="166" t="s">
        <v>1314</v>
      </c>
      <c r="L95" s="73"/>
      <c r="M95" s="73"/>
      <c r="N95" s="95"/>
    </row>
    <row r="96" spans="1:14" ht="17.45" customHeight="1">
      <c r="A96" s="593"/>
      <c r="B96" s="175" t="s">
        <v>667</v>
      </c>
      <c r="C96" s="92" t="s">
        <v>1301</v>
      </c>
      <c r="D96" s="176"/>
      <c r="E96" s="92" t="s">
        <v>657</v>
      </c>
      <c r="F96" s="92" t="s">
        <v>703</v>
      </c>
      <c r="G96" s="92" t="s">
        <v>730</v>
      </c>
      <c r="H96" s="36" t="s">
        <v>1217</v>
      </c>
      <c r="I96" s="36" t="s">
        <v>1215</v>
      </c>
      <c r="J96" s="93" t="s">
        <v>675</v>
      </c>
      <c r="K96" s="167" t="s">
        <v>657</v>
      </c>
      <c r="L96" s="73"/>
      <c r="M96" s="73"/>
      <c r="N96" s="95"/>
    </row>
    <row r="97" spans="1:14" ht="17.45" customHeight="1">
      <c r="A97" s="593"/>
      <c r="B97" s="63" t="s">
        <v>674</v>
      </c>
      <c r="C97" s="62" t="s">
        <v>751</v>
      </c>
      <c r="D97" s="177"/>
      <c r="E97" s="58" t="s">
        <v>1315</v>
      </c>
      <c r="F97" s="62" t="s">
        <v>657</v>
      </c>
      <c r="G97" s="59" t="s">
        <v>1584</v>
      </c>
      <c r="H97" s="38" t="s">
        <v>1155</v>
      </c>
      <c r="I97" s="40" t="s">
        <v>1219</v>
      </c>
      <c r="J97" s="62" t="s">
        <v>751</v>
      </c>
      <c r="K97" s="168" t="s">
        <v>730</v>
      </c>
      <c r="L97" s="73"/>
      <c r="M97" s="73"/>
      <c r="N97" s="95"/>
    </row>
    <row r="98" spans="1:14" ht="17.45" customHeight="1">
      <c r="A98" s="593"/>
      <c r="B98" s="63" t="s">
        <v>816</v>
      </c>
      <c r="C98" s="59" t="s">
        <v>732</v>
      </c>
      <c r="D98" s="177"/>
      <c r="E98" s="133"/>
      <c r="F98" s="58" t="s">
        <v>1318</v>
      </c>
      <c r="G98" s="59" t="s">
        <v>1097</v>
      </c>
      <c r="H98" s="38" t="s">
        <v>1086</v>
      </c>
      <c r="I98" s="44" t="s">
        <v>1487</v>
      </c>
      <c r="J98" s="58" t="s">
        <v>1315</v>
      </c>
      <c r="K98" s="85" t="s">
        <v>398</v>
      </c>
      <c r="L98" s="73"/>
      <c r="M98" s="73"/>
      <c r="N98" s="95"/>
    </row>
    <row r="99" spans="1:14" ht="17.45" customHeight="1">
      <c r="A99" s="593"/>
      <c r="B99" s="61" t="s">
        <v>954</v>
      </c>
      <c r="C99" s="62" t="s">
        <v>1475</v>
      </c>
      <c r="D99" s="132"/>
      <c r="E99" s="133"/>
      <c r="F99" s="58" t="s">
        <v>1315</v>
      </c>
      <c r="G99" s="133"/>
      <c r="H99" s="89" t="s">
        <v>1319</v>
      </c>
      <c r="I99" s="38" t="s">
        <v>1320</v>
      </c>
      <c r="J99" s="59" t="s">
        <v>1584</v>
      </c>
      <c r="K99" s="85" t="s">
        <v>1497</v>
      </c>
      <c r="L99" s="73"/>
      <c r="M99" s="73"/>
      <c r="N99" s="95"/>
    </row>
    <row r="100" spans="1:14" ht="17.45" customHeight="1">
      <c r="A100" s="593"/>
      <c r="B100" s="63" t="s">
        <v>1501</v>
      </c>
      <c r="C100" s="62" t="s">
        <v>1321</v>
      </c>
      <c r="D100" s="132"/>
      <c r="E100" s="133"/>
      <c r="F100" s="59" t="s">
        <v>1255</v>
      </c>
      <c r="G100" s="133"/>
      <c r="H100" s="42" t="s">
        <v>1232</v>
      </c>
      <c r="I100" s="435" t="s">
        <v>1316</v>
      </c>
      <c r="J100" s="59" t="s">
        <v>1097</v>
      </c>
      <c r="K100" s="169" t="s">
        <v>1584</v>
      </c>
      <c r="L100" s="73"/>
      <c r="M100" s="73"/>
      <c r="N100" s="95"/>
    </row>
    <row r="101" spans="1:14" ht="17.45" customHeight="1">
      <c r="A101" s="593"/>
      <c r="B101" s="443" t="s">
        <v>1772</v>
      </c>
      <c r="C101" s="62" t="s">
        <v>1322</v>
      </c>
      <c r="D101" s="132"/>
      <c r="E101" s="133"/>
      <c r="F101" s="133"/>
      <c r="G101" s="132"/>
      <c r="H101" s="66" t="s">
        <v>301</v>
      </c>
      <c r="I101" s="46" t="s">
        <v>1696</v>
      </c>
      <c r="J101" s="443" t="s">
        <v>1772</v>
      </c>
      <c r="K101" s="169" t="s">
        <v>1097</v>
      </c>
      <c r="L101" s="73"/>
      <c r="M101" s="73"/>
      <c r="N101" s="95"/>
    </row>
    <row r="102" spans="1:14" ht="17.45" customHeight="1">
      <c r="A102" s="593"/>
      <c r="B102" s="147"/>
      <c r="C102" s="62" t="s">
        <v>728</v>
      </c>
      <c r="D102" s="132"/>
      <c r="E102" s="134"/>
      <c r="F102" s="133"/>
      <c r="G102" s="132"/>
      <c r="H102" s="133"/>
      <c r="I102" s="133"/>
      <c r="J102" s="133"/>
      <c r="K102" s="169" t="s">
        <v>688</v>
      </c>
      <c r="L102" s="73"/>
      <c r="M102" s="73"/>
      <c r="N102" s="95"/>
    </row>
    <row r="103" spans="1:14" ht="17.45" customHeight="1">
      <c r="A103" s="593"/>
      <c r="B103" s="147"/>
      <c r="C103" s="133"/>
      <c r="D103" s="132"/>
      <c r="E103" s="134"/>
      <c r="F103" s="132"/>
      <c r="G103" s="132"/>
      <c r="H103" s="178"/>
      <c r="I103" s="133"/>
      <c r="J103" s="133"/>
      <c r="L103" s="73"/>
      <c r="M103" s="73"/>
      <c r="N103" s="95"/>
    </row>
    <row r="104" spans="1:14" ht="17.45" customHeight="1">
      <c r="A104" s="593"/>
      <c r="B104" s="179"/>
      <c r="C104" s="133"/>
      <c r="D104" s="134"/>
      <c r="E104" s="134"/>
      <c r="F104" s="132"/>
      <c r="G104" s="132"/>
      <c r="H104" s="177"/>
      <c r="I104" s="177"/>
      <c r="J104" s="133"/>
      <c r="K104" s="158"/>
      <c r="L104" s="73"/>
      <c r="M104" s="73"/>
      <c r="N104" s="95"/>
    </row>
    <row r="105" spans="1:14" ht="17.45" customHeight="1">
      <c r="A105" s="593"/>
      <c r="B105" s="147"/>
      <c r="C105" s="134"/>
      <c r="D105" s="134"/>
      <c r="E105" s="134"/>
      <c r="F105" s="134"/>
      <c r="G105" s="132"/>
      <c r="H105" s="177"/>
      <c r="I105" s="133"/>
      <c r="J105" s="134"/>
      <c r="K105" s="158"/>
      <c r="L105" s="73"/>
      <c r="M105" s="73"/>
      <c r="N105" s="95"/>
    </row>
    <row r="106" spans="1:14" ht="17.45" customHeight="1">
      <c r="A106" s="593"/>
      <c r="B106" s="147"/>
      <c r="C106" s="134"/>
      <c r="D106" s="134"/>
      <c r="E106" s="134"/>
      <c r="F106" s="132"/>
      <c r="G106" s="132"/>
      <c r="H106" s="177"/>
      <c r="I106" s="177"/>
      <c r="J106" s="134"/>
      <c r="K106" s="158"/>
      <c r="L106" s="73"/>
      <c r="M106" s="73"/>
      <c r="N106" s="95"/>
    </row>
    <row r="107" spans="1:14" ht="17.45" customHeight="1">
      <c r="A107" s="593"/>
      <c r="B107" s="179"/>
      <c r="C107" s="134"/>
      <c r="D107" s="134"/>
      <c r="E107" s="132"/>
      <c r="F107" s="132"/>
      <c r="G107" s="132"/>
      <c r="H107" s="177"/>
      <c r="I107" s="177"/>
      <c r="J107" s="134"/>
      <c r="K107" s="158"/>
      <c r="L107" s="73"/>
      <c r="M107" s="73"/>
      <c r="N107" s="95"/>
    </row>
    <row r="108" spans="1:14" ht="17.45" customHeight="1" thickBot="1">
      <c r="A108" s="593"/>
      <c r="B108" s="180"/>
      <c r="C108" s="122"/>
      <c r="D108" s="122"/>
      <c r="E108" s="140"/>
      <c r="F108" s="122"/>
      <c r="G108" s="122"/>
      <c r="H108" s="181"/>
      <c r="I108" s="181"/>
      <c r="J108" s="188"/>
      <c r="K108" s="162"/>
      <c r="L108" s="73"/>
      <c r="M108" s="73"/>
      <c r="N108" s="95"/>
    </row>
    <row r="109" spans="1:14" ht="27.95" customHeight="1" thickBot="1">
      <c r="A109" s="586" t="s">
        <v>1323</v>
      </c>
      <c r="B109" s="397" t="s">
        <v>1324</v>
      </c>
      <c r="C109" s="165" t="s">
        <v>1788</v>
      </c>
      <c r="D109" s="165" t="s">
        <v>1325</v>
      </c>
      <c r="E109" s="165" t="s">
        <v>1326</v>
      </c>
      <c r="F109" s="165" t="s">
        <v>1327</v>
      </c>
      <c r="G109" s="165" t="s">
        <v>1328</v>
      </c>
      <c r="H109" s="165" t="s">
        <v>1329</v>
      </c>
      <c r="I109" s="165" t="s">
        <v>1330</v>
      </c>
      <c r="J109" s="165" t="s">
        <v>1331</v>
      </c>
      <c r="K109" s="166" t="s">
        <v>1332</v>
      </c>
      <c r="M109" s="73"/>
      <c r="N109" s="95"/>
    </row>
    <row r="110" spans="1:14" ht="17.45" customHeight="1">
      <c r="A110" s="586"/>
      <c r="B110" s="182" t="s">
        <v>675</v>
      </c>
      <c r="C110" s="92" t="s">
        <v>703</v>
      </c>
      <c r="D110" s="92" t="s">
        <v>842</v>
      </c>
      <c r="E110" s="92" t="s">
        <v>751</v>
      </c>
      <c r="F110" s="92" t="s">
        <v>758</v>
      </c>
      <c r="G110" s="93" t="s">
        <v>655</v>
      </c>
      <c r="H110" s="93" t="s">
        <v>675</v>
      </c>
      <c r="I110" s="93" t="s">
        <v>802</v>
      </c>
      <c r="J110" s="93" t="s">
        <v>655</v>
      </c>
      <c r="K110" s="192" t="s">
        <v>655</v>
      </c>
      <c r="M110" s="73"/>
      <c r="N110" s="95"/>
    </row>
    <row r="111" spans="1:14" ht="18" customHeight="1">
      <c r="A111" s="586"/>
      <c r="B111" s="61" t="s">
        <v>802</v>
      </c>
      <c r="C111" s="62" t="s">
        <v>1527</v>
      </c>
      <c r="D111" s="62" t="s">
        <v>1252</v>
      </c>
      <c r="E111" s="62" t="s">
        <v>728</v>
      </c>
      <c r="F111" s="58" t="s">
        <v>655</v>
      </c>
      <c r="G111" s="58" t="s">
        <v>1471</v>
      </c>
      <c r="H111" s="62" t="s">
        <v>730</v>
      </c>
      <c r="I111" s="62" t="s">
        <v>1505</v>
      </c>
      <c r="J111" s="62" t="s">
        <v>674</v>
      </c>
      <c r="K111" s="85" t="s">
        <v>1315</v>
      </c>
      <c r="M111" s="73"/>
      <c r="N111" s="95"/>
    </row>
    <row r="112" spans="1:14" ht="17.45" customHeight="1">
      <c r="A112" s="586"/>
      <c r="B112" s="61" t="s">
        <v>398</v>
      </c>
      <c r="C112" s="62" t="s">
        <v>1252</v>
      </c>
      <c r="D112" s="59" t="s">
        <v>1216</v>
      </c>
      <c r="E112" s="62" t="s">
        <v>1750</v>
      </c>
      <c r="F112" s="62" t="s">
        <v>1499</v>
      </c>
      <c r="H112" s="59" t="s">
        <v>1563</v>
      </c>
      <c r="I112" s="62" t="s">
        <v>669</v>
      </c>
      <c r="J112" s="58" t="s">
        <v>398</v>
      </c>
      <c r="K112" s="85" t="s">
        <v>1318</v>
      </c>
      <c r="M112" s="73"/>
      <c r="N112" s="95"/>
    </row>
    <row r="113" spans="1:14" ht="17.45" customHeight="1">
      <c r="A113" s="586"/>
      <c r="B113" s="64" t="s">
        <v>1333</v>
      </c>
      <c r="C113" s="59" t="s">
        <v>1216</v>
      </c>
      <c r="D113" s="62" t="s">
        <v>669</v>
      </c>
      <c r="E113" s="62" t="s">
        <v>1499</v>
      </c>
      <c r="F113" s="62" t="s">
        <v>1527</v>
      </c>
      <c r="G113" s="133"/>
      <c r="H113" s="443" t="s">
        <v>1586</v>
      </c>
      <c r="I113" s="59" t="s">
        <v>1255</v>
      </c>
      <c r="J113" s="62" t="s">
        <v>728</v>
      </c>
      <c r="K113" s="450" t="s">
        <v>1586</v>
      </c>
      <c r="M113" s="73"/>
      <c r="N113" s="95"/>
    </row>
    <row r="114" spans="1:14" ht="17.45" customHeight="1">
      <c r="A114" s="586"/>
      <c r="B114" s="64" t="s">
        <v>1563</v>
      </c>
      <c r="C114" s="59" t="s">
        <v>1751</v>
      </c>
      <c r="D114" s="444" t="s">
        <v>1585</v>
      </c>
      <c r="E114" s="59" t="s">
        <v>732</v>
      </c>
      <c r="F114" s="58" t="s">
        <v>1471</v>
      </c>
      <c r="G114" s="133"/>
      <c r="H114" s="133"/>
      <c r="I114" s="58" t="s">
        <v>1318</v>
      </c>
      <c r="J114" s="62" t="s">
        <v>758</v>
      </c>
      <c r="M114" s="73"/>
      <c r="N114" s="95"/>
    </row>
    <row r="115" spans="1:14" ht="17.45" customHeight="1">
      <c r="A115" s="586"/>
      <c r="B115" s="147"/>
      <c r="C115" s="443" t="s">
        <v>1585</v>
      </c>
      <c r="D115" s="133"/>
      <c r="E115" s="62" t="s">
        <v>1475</v>
      </c>
      <c r="F115" s="133"/>
      <c r="G115" s="133"/>
      <c r="H115" s="133"/>
      <c r="I115" s="59" t="s">
        <v>688</v>
      </c>
      <c r="J115" s="62" t="s">
        <v>758</v>
      </c>
      <c r="K115" s="158"/>
      <c r="L115" s="73"/>
      <c r="M115" s="73"/>
      <c r="N115" s="95"/>
    </row>
    <row r="116" spans="1:14" ht="17.45" customHeight="1">
      <c r="A116" s="586"/>
      <c r="B116" s="147"/>
      <c r="D116" s="133"/>
      <c r="E116" s="62" t="s">
        <v>1321</v>
      </c>
      <c r="F116" s="133"/>
      <c r="G116" s="133"/>
      <c r="H116" s="133"/>
      <c r="I116" s="59" t="s">
        <v>667</v>
      </c>
      <c r="J116" s="443" t="s">
        <v>1586</v>
      </c>
      <c r="K116" s="158"/>
      <c r="L116" s="73"/>
      <c r="M116" s="73"/>
      <c r="N116" s="95"/>
    </row>
    <row r="117" spans="1:14" ht="17.45" customHeight="1">
      <c r="A117" s="586"/>
      <c r="B117" s="147"/>
      <c r="D117" s="133"/>
      <c r="E117" s="62" t="s">
        <v>1322</v>
      </c>
      <c r="F117" s="133"/>
      <c r="G117" s="133"/>
      <c r="H117" s="133"/>
      <c r="I117" s="59" t="s">
        <v>1097</v>
      </c>
      <c r="J117" s="133"/>
      <c r="K117" s="158"/>
      <c r="L117" s="73"/>
      <c r="M117" s="73"/>
      <c r="N117" s="95"/>
    </row>
    <row r="118" spans="1:14" ht="17.45" customHeight="1">
      <c r="A118" s="586"/>
      <c r="B118" s="147"/>
      <c r="D118" s="133"/>
      <c r="E118" s="59" t="s">
        <v>696</v>
      </c>
      <c r="F118" s="133"/>
      <c r="G118" s="133"/>
      <c r="H118" s="133"/>
      <c r="I118" s="133"/>
      <c r="J118" s="133"/>
      <c r="K118" s="158"/>
      <c r="L118" s="73"/>
      <c r="M118" s="73"/>
      <c r="N118" s="95"/>
    </row>
    <row r="119" spans="1:14" ht="17.45" customHeight="1">
      <c r="A119" s="586"/>
      <c r="B119" s="147"/>
      <c r="C119" s="133"/>
      <c r="D119" s="133"/>
      <c r="E119" s="133"/>
      <c r="F119" s="133"/>
      <c r="G119" s="133"/>
      <c r="H119" s="134"/>
      <c r="I119" s="133"/>
      <c r="J119" s="134"/>
      <c r="K119" s="158"/>
      <c r="L119" s="73"/>
      <c r="M119" s="73"/>
      <c r="N119" s="95"/>
    </row>
    <row r="120" spans="1:14" ht="17.45" customHeight="1">
      <c r="A120" s="586"/>
      <c r="B120" s="147"/>
      <c r="C120" s="133"/>
      <c r="D120" s="133"/>
      <c r="E120" s="133"/>
      <c r="F120" s="133"/>
      <c r="G120" s="133"/>
      <c r="H120" s="134"/>
      <c r="I120" s="134"/>
      <c r="J120" s="132"/>
      <c r="K120" s="158"/>
      <c r="L120" s="96"/>
      <c r="M120" s="73"/>
      <c r="N120" s="95"/>
    </row>
    <row r="121" spans="1:14" ht="17.45" customHeight="1" thickBot="1">
      <c r="A121" s="586"/>
      <c r="B121" s="143"/>
      <c r="C121" s="140"/>
      <c r="D121" s="140"/>
      <c r="E121" s="140"/>
      <c r="F121" s="140"/>
      <c r="G121" s="140"/>
      <c r="H121" s="135"/>
      <c r="I121" s="122"/>
      <c r="J121" s="122"/>
      <c r="K121" s="189"/>
      <c r="L121" s="73"/>
      <c r="M121" s="73"/>
      <c r="N121" s="95"/>
    </row>
    <row r="122" spans="1:14" ht="27.95" customHeight="1" thickBot="1">
      <c r="A122" s="594" t="s">
        <v>1334</v>
      </c>
      <c r="B122" s="127" t="s">
        <v>1335</v>
      </c>
      <c r="C122" s="183"/>
      <c r="D122" s="127" t="s">
        <v>1336</v>
      </c>
      <c r="E122" s="128" t="s">
        <v>1337</v>
      </c>
      <c r="F122" s="127" t="s">
        <v>1338</v>
      </c>
      <c r="G122" s="183"/>
      <c r="H122" s="183"/>
      <c r="I122" s="128" t="s">
        <v>1339</v>
      </c>
      <c r="J122" s="126" t="s">
        <v>1340</v>
      </c>
      <c r="K122" s="190" t="s">
        <v>1341</v>
      </c>
      <c r="L122" s="73"/>
      <c r="M122" s="73"/>
      <c r="N122" s="95"/>
    </row>
    <row r="123" spans="1:14" ht="17.45" customHeight="1">
      <c r="A123" s="595"/>
      <c r="B123" s="34" t="s">
        <v>205</v>
      </c>
      <c r="C123" s="130"/>
      <c r="D123" s="36" t="s">
        <v>1208</v>
      </c>
      <c r="E123" s="36" t="s">
        <v>203</v>
      </c>
      <c r="F123" s="36" t="s">
        <v>1262</v>
      </c>
      <c r="G123" s="130"/>
      <c r="H123" s="130"/>
      <c r="I123" s="36" t="s">
        <v>203</v>
      </c>
      <c r="J123" s="36" t="s">
        <v>1253</v>
      </c>
      <c r="K123" s="191" t="s">
        <v>240</v>
      </c>
      <c r="L123" s="73"/>
      <c r="M123" s="73"/>
      <c r="N123" s="95"/>
    </row>
    <row r="124" spans="1:14" ht="17.45" customHeight="1">
      <c r="A124" s="595"/>
      <c r="B124" s="37" t="s">
        <v>1248</v>
      </c>
      <c r="C124" s="134"/>
      <c r="D124" s="435" t="s">
        <v>1605</v>
      </c>
      <c r="E124" s="40" t="s">
        <v>1251</v>
      </c>
      <c r="F124" s="43" t="s">
        <v>1181</v>
      </c>
      <c r="G124" s="134"/>
      <c r="H124" s="134"/>
      <c r="I124" s="38" t="s">
        <v>1342</v>
      </c>
      <c r="J124" s="38" t="s">
        <v>1218</v>
      </c>
      <c r="K124" s="161"/>
      <c r="L124" s="73"/>
      <c r="M124" s="73"/>
      <c r="N124" s="95"/>
    </row>
    <row r="125" spans="1:14" ht="17.45" customHeight="1">
      <c r="A125" s="595"/>
      <c r="B125" s="37" t="s">
        <v>1086</v>
      </c>
      <c r="C125" s="38"/>
      <c r="D125" s="456" t="s">
        <v>1268</v>
      </c>
      <c r="E125" s="131" t="s">
        <v>864</v>
      </c>
      <c r="F125" s="43" t="s">
        <v>1230</v>
      </c>
      <c r="G125" s="38"/>
      <c r="H125" s="38"/>
      <c r="I125" s="38" t="s">
        <v>1286</v>
      </c>
      <c r="J125" s="38" t="s">
        <v>1250</v>
      </c>
      <c r="K125" s="77"/>
      <c r="L125" s="73"/>
      <c r="M125" s="73"/>
      <c r="N125" s="95"/>
    </row>
    <row r="126" spans="1:14" ht="17.45" customHeight="1">
      <c r="A126" s="595"/>
      <c r="B126" s="398" t="s">
        <v>1319</v>
      </c>
      <c r="C126" s="40"/>
      <c r="D126" s="46" t="s">
        <v>1638</v>
      </c>
      <c r="E126" s="131" t="s">
        <v>864</v>
      </c>
      <c r="F126" s="38" t="s">
        <v>1257</v>
      </c>
      <c r="G126" s="38"/>
      <c r="H126" s="40"/>
      <c r="I126" s="42" t="s">
        <v>1343</v>
      </c>
      <c r="J126" s="38" t="s">
        <v>1528</v>
      </c>
      <c r="K126" s="77"/>
      <c r="L126" s="73"/>
      <c r="M126" s="73"/>
      <c r="N126" s="95"/>
    </row>
    <row r="127" spans="1:14" ht="17.45" customHeight="1" thickBot="1">
      <c r="A127" s="595"/>
      <c r="B127" s="46" t="s">
        <v>1777</v>
      </c>
      <c r="C127" s="124"/>
      <c r="D127" s="123" t="s">
        <v>864</v>
      </c>
      <c r="E127" s="123" t="s">
        <v>864</v>
      </c>
      <c r="F127" s="144" t="s">
        <v>1488</v>
      </c>
      <c r="G127" s="125"/>
      <c r="H127" s="124"/>
      <c r="I127" s="38" t="s">
        <v>1303</v>
      </c>
      <c r="J127" s="465" t="s">
        <v>1272</v>
      </c>
      <c r="K127" s="164"/>
      <c r="L127" s="73"/>
      <c r="M127" s="73"/>
      <c r="N127" s="95"/>
    </row>
    <row r="128" spans="1:14" ht="27.95" customHeight="1" thickBot="1">
      <c r="A128" s="590" t="s">
        <v>1344</v>
      </c>
      <c r="B128" s="127" t="s">
        <v>1345</v>
      </c>
      <c r="C128" s="126" t="s">
        <v>1346</v>
      </c>
      <c r="D128" s="127" t="s">
        <v>1347</v>
      </c>
      <c r="E128" s="126" t="s">
        <v>1348</v>
      </c>
      <c r="F128" s="127" t="s">
        <v>1349</v>
      </c>
      <c r="G128" s="128" t="s">
        <v>1350</v>
      </c>
      <c r="H128" s="183"/>
      <c r="I128" s="128" t="s">
        <v>1351</v>
      </c>
      <c r="J128" s="165" t="s">
        <v>1352</v>
      </c>
      <c r="K128" s="166" t="s">
        <v>1353</v>
      </c>
      <c r="L128" s="73"/>
      <c r="M128" s="73"/>
      <c r="N128" s="95"/>
    </row>
    <row r="129" spans="1:14" ht="17.45" customHeight="1">
      <c r="A129" s="591"/>
      <c r="B129" s="152" t="s">
        <v>1192</v>
      </c>
      <c r="C129" s="36" t="s">
        <v>1203</v>
      </c>
      <c r="D129" s="36" t="s">
        <v>483</v>
      </c>
      <c r="E129" s="36" t="s">
        <v>1212</v>
      </c>
      <c r="F129" s="36" t="s">
        <v>1203</v>
      </c>
      <c r="G129" s="36" t="s">
        <v>1246</v>
      </c>
      <c r="H129" s="130"/>
      <c r="I129" s="36" t="s">
        <v>1233</v>
      </c>
      <c r="J129" s="92" t="s">
        <v>730</v>
      </c>
      <c r="K129" s="192" t="s">
        <v>802</v>
      </c>
      <c r="L129" s="73"/>
      <c r="M129" s="96"/>
      <c r="N129" s="95"/>
    </row>
    <row r="130" spans="1:14" ht="17.45" customHeight="1">
      <c r="A130" s="591"/>
      <c r="B130" s="51" t="s">
        <v>1702</v>
      </c>
      <c r="C130" s="38" t="s">
        <v>1087</v>
      </c>
      <c r="D130" s="38" t="s">
        <v>1222</v>
      </c>
      <c r="E130" s="65" t="s">
        <v>825</v>
      </c>
      <c r="F130" s="38" t="s">
        <v>1218</v>
      </c>
      <c r="G130" s="38" t="s">
        <v>1342</v>
      </c>
      <c r="H130" s="134"/>
      <c r="I130" s="38" t="s">
        <v>1182</v>
      </c>
      <c r="J130" s="59" t="s">
        <v>1333</v>
      </c>
      <c r="K130" s="168" t="s">
        <v>751</v>
      </c>
      <c r="L130" s="73"/>
      <c r="M130" s="73"/>
      <c r="N130" s="95"/>
    </row>
    <row r="131" spans="1:14" ht="17.45" customHeight="1">
      <c r="A131" s="591"/>
      <c r="B131" s="51" t="s">
        <v>1710</v>
      </c>
      <c r="C131" s="40" t="s">
        <v>1219</v>
      </c>
      <c r="D131" s="43" t="s">
        <v>1261</v>
      </c>
      <c r="E131" s="42" t="s">
        <v>1264</v>
      </c>
      <c r="F131" s="456" t="s">
        <v>1272</v>
      </c>
      <c r="G131" s="38" t="s">
        <v>1270</v>
      </c>
      <c r="H131" s="133"/>
      <c r="I131" s="38" t="s">
        <v>1081</v>
      </c>
      <c r="J131" s="62" t="s">
        <v>1321</v>
      </c>
      <c r="K131" s="168" t="s">
        <v>703</v>
      </c>
      <c r="L131" s="73"/>
      <c r="M131" s="73"/>
      <c r="N131" s="95"/>
    </row>
    <row r="132" spans="1:14" ht="17.45" customHeight="1">
      <c r="A132" s="591"/>
      <c r="B132" s="119" t="s">
        <v>864</v>
      </c>
      <c r="C132" s="42" t="s">
        <v>1264</v>
      </c>
      <c r="D132" s="46" t="s">
        <v>1643</v>
      </c>
      <c r="E132" s="456" t="s">
        <v>1102</v>
      </c>
      <c r="F132" s="131" t="s">
        <v>864</v>
      </c>
      <c r="G132" s="131" t="s">
        <v>864</v>
      </c>
      <c r="H132" s="133"/>
      <c r="I132" s="38" t="s">
        <v>1354</v>
      </c>
      <c r="J132" s="59" t="s">
        <v>696</v>
      </c>
      <c r="K132" s="168" t="s">
        <v>1475</v>
      </c>
      <c r="L132" s="73"/>
      <c r="M132" s="73"/>
      <c r="N132" s="95"/>
    </row>
    <row r="133" spans="1:14" ht="17.45" customHeight="1">
      <c r="A133" s="591"/>
      <c r="B133" s="119" t="s">
        <v>864</v>
      </c>
      <c r="C133" s="131" t="s">
        <v>864</v>
      </c>
      <c r="D133" s="46" t="s">
        <v>1729</v>
      </c>
      <c r="E133" s="46" t="s">
        <v>1710</v>
      </c>
      <c r="F133" s="131" t="s">
        <v>864</v>
      </c>
      <c r="G133" s="131" t="s">
        <v>864</v>
      </c>
      <c r="H133" s="133"/>
      <c r="I133" s="38" t="s">
        <v>1225</v>
      </c>
      <c r="J133" s="133"/>
      <c r="K133" s="169" t="s">
        <v>667</v>
      </c>
      <c r="L133" s="73"/>
      <c r="M133" s="73"/>
      <c r="N133" s="95"/>
    </row>
    <row r="134" spans="1:14" ht="17.45" customHeight="1">
      <c r="A134" s="591"/>
      <c r="B134" s="119" t="s">
        <v>864</v>
      </c>
      <c r="C134" s="131" t="s">
        <v>864</v>
      </c>
      <c r="D134" s="131" t="s">
        <v>864</v>
      </c>
      <c r="E134" s="131" t="s">
        <v>864</v>
      </c>
      <c r="F134" s="131" t="s">
        <v>864</v>
      </c>
      <c r="G134" s="131" t="s">
        <v>864</v>
      </c>
      <c r="H134" s="133"/>
      <c r="I134" s="131" t="s">
        <v>864</v>
      </c>
      <c r="J134" s="133"/>
      <c r="K134" s="158"/>
      <c r="L134" s="73"/>
      <c r="M134" s="73"/>
      <c r="N134" s="95"/>
    </row>
    <row r="135" spans="1:14" ht="17.45" customHeight="1">
      <c r="A135" s="591"/>
      <c r="B135" s="45"/>
      <c r="C135" s="40"/>
      <c r="D135" s="40"/>
      <c r="E135" s="40"/>
      <c r="F135" s="40"/>
      <c r="G135" s="40"/>
      <c r="H135" s="40"/>
      <c r="I135" s="133"/>
      <c r="J135" s="40"/>
      <c r="K135" s="86"/>
      <c r="L135" s="73"/>
      <c r="M135" s="73"/>
      <c r="N135" s="95"/>
    </row>
    <row r="136" spans="1:14" ht="17.45" customHeight="1">
      <c r="A136" s="591"/>
      <c r="B136" s="45"/>
      <c r="C136" s="40"/>
      <c r="D136" s="40"/>
      <c r="E136" s="40"/>
      <c r="F136" s="40"/>
      <c r="G136" s="40"/>
      <c r="H136" s="40"/>
      <c r="I136" s="40"/>
      <c r="J136" s="40"/>
      <c r="K136" s="86"/>
      <c r="L136" s="73"/>
      <c r="M136" s="73"/>
      <c r="N136" s="95"/>
    </row>
    <row r="137" spans="1:14" ht="17.45" customHeight="1">
      <c r="A137" s="591"/>
      <c r="B137" s="45"/>
      <c r="C137" s="40"/>
      <c r="D137" s="40"/>
      <c r="E137" s="40"/>
      <c r="F137" s="193"/>
      <c r="G137" s="40"/>
      <c r="H137" s="40"/>
      <c r="I137" s="40"/>
      <c r="J137" s="40"/>
      <c r="K137" s="86"/>
      <c r="L137" s="73"/>
      <c r="M137" s="73"/>
      <c r="N137" s="95"/>
    </row>
    <row r="138" spans="1:14" ht="17.45" customHeight="1">
      <c r="A138" s="591"/>
      <c r="B138" s="45"/>
      <c r="C138" s="40"/>
      <c r="D138" s="40"/>
      <c r="E138" s="40"/>
      <c r="F138" s="193"/>
      <c r="G138" s="40"/>
      <c r="H138" s="40"/>
      <c r="I138" s="40"/>
      <c r="J138" s="40"/>
      <c r="K138" s="86"/>
      <c r="L138" s="73"/>
      <c r="M138" s="73"/>
      <c r="N138" s="95"/>
    </row>
    <row r="139" spans="1:14" ht="18" customHeight="1" thickBot="1">
      <c r="A139" s="591"/>
      <c r="B139" s="150"/>
      <c r="C139" s="125"/>
      <c r="D139" s="125"/>
      <c r="E139" s="140"/>
      <c r="F139" s="194"/>
      <c r="G139" s="125"/>
      <c r="H139" s="125"/>
      <c r="I139" s="125"/>
      <c r="J139" s="125"/>
      <c r="K139" s="170"/>
      <c r="L139" s="73"/>
      <c r="N139" s="95"/>
    </row>
    <row r="140" spans="1:14" ht="27.95" customHeight="1" thickBot="1">
      <c r="A140" s="590" t="s">
        <v>1355</v>
      </c>
      <c r="B140" s="195" t="s">
        <v>1356</v>
      </c>
      <c r="C140" s="195" t="s">
        <v>1356</v>
      </c>
      <c r="D140" s="127" t="s">
        <v>1357</v>
      </c>
      <c r="E140" s="137"/>
      <c r="F140" s="127" t="s">
        <v>1358</v>
      </c>
      <c r="G140" s="127" t="s">
        <v>1359</v>
      </c>
      <c r="H140" s="126" t="s">
        <v>1360</v>
      </c>
      <c r="I140" s="203" t="s">
        <v>1341</v>
      </c>
      <c r="J140" s="127" t="s">
        <v>1361</v>
      </c>
      <c r="K140" s="204" t="s">
        <v>1362</v>
      </c>
      <c r="L140" s="73"/>
      <c r="N140" s="95"/>
    </row>
    <row r="141" spans="1:14" ht="17.45" customHeight="1">
      <c r="A141" s="591"/>
      <c r="B141" s="196" t="s">
        <v>1206</v>
      </c>
      <c r="C141" s="197"/>
      <c r="D141" s="36" t="s">
        <v>1207</v>
      </c>
      <c r="E141" s="197"/>
      <c r="F141" s="464" t="s">
        <v>1271</v>
      </c>
      <c r="G141" s="36" t="s">
        <v>1210</v>
      </c>
      <c r="H141" s="54" t="s">
        <v>1100</v>
      </c>
      <c r="I141" s="35" t="s">
        <v>234</v>
      </c>
      <c r="J141" s="54" t="s">
        <v>1363</v>
      </c>
      <c r="K141" s="76" t="s">
        <v>1207</v>
      </c>
      <c r="L141" s="73"/>
      <c r="N141" s="95"/>
    </row>
    <row r="142" spans="1:14" ht="17.45" customHeight="1">
      <c r="A142" s="591"/>
      <c r="B142" s="67" t="s">
        <v>1530</v>
      </c>
      <c r="C142" s="133"/>
      <c r="D142" s="38" t="s">
        <v>1184</v>
      </c>
      <c r="E142" s="132"/>
      <c r="F142" s="456" t="s">
        <v>1364</v>
      </c>
      <c r="G142" s="38" t="s">
        <v>1267</v>
      </c>
      <c r="H142" s="40" t="s">
        <v>1236</v>
      </c>
      <c r="I142" s="133"/>
      <c r="J142" s="43" t="s">
        <v>1259</v>
      </c>
      <c r="K142" s="77" t="s">
        <v>1205</v>
      </c>
      <c r="L142" s="73"/>
      <c r="N142" s="95"/>
    </row>
    <row r="143" spans="1:14" ht="17.45" customHeight="1">
      <c r="A143" s="591"/>
      <c r="B143" s="147"/>
      <c r="C143" s="132"/>
      <c r="D143" s="38" t="s">
        <v>189</v>
      </c>
      <c r="E143" s="134"/>
      <c r="F143" s="456" t="s">
        <v>1365</v>
      </c>
      <c r="G143" s="38" t="s">
        <v>1220</v>
      </c>
      <c r="H143" s="40" t="s">
        <v>1223</v>
      </c>
      <c r="I143" s="133"/>
      <c r="J143" s="44" t="s">
        <v>159</v>
      </c>
      <c r="K143" s="77" t="s">
        <v>1133</v>
      </c>
      <c r="L143" s="73"/>
      <c r="N143" s="95"/>
    </row>
    <row r="144" spans="1:14" ht="17.45" customHeight="1">
      <c r="A144" s="591"/>
      <c r="B144" s="147"/>
      <c r="C144" s="134"/>
      <c r="D144" s="38" t="s">
        <v>1214</v>
      </c>
      <c r="E144" s="134"/>
      <c r="F144" s="131" t="s">
        <v>864</v>
      </c>
      <c r="G144" s="38" t="s">
        <v>1265</v>
      </c>
      <c r="H144" s="43" t="s">
        <v>1261</v>
      </c>
      <c r="I144" s="133"/>
      <c r="J144" s="46" t="s">
        <v>1621</v>
      </c>
      <c r="K144" s="436" t="s">
        <v>1605</v>
      </c>
      <c r="L144" s="73"/>
      <c r="N144" s="95"/>
    </row>
    <row r="145" spans="1:14" ht="17.45" customHeight="1">
      <c r="A145" s="591"/>
      <c r="B145" s="172"/>
      <c r="C145" s="133"/>
      <c r="D145" s="46" t="s">
        <v>1610</v>
      </c>
      <c r="E145" s="134"/>
      <c r="F145" s="131" t="s">
        <v>864</v>
      </c>
      <c r="G145" s="38" t="s">
        <v>1225</v>
      </c>
      <c r="H145" s="44" t="s">
        <v>1229</v>
      </c>
      <c r="I145" s="133"/>
      <c r="J145" s="131" t="s">
        <v>864</v>
      </c>
      <c r="K145" s="457" t="s">
        <v>1365</v>
      </c>
      <c r="L145" s="73"/>
      <c r="N145" s="95"/>
    </row>
    <row r="146" spans="1:14" ht="17.45" customHeight="1">
      <c r="A146" s="591"/>
      <c r="B146" s="172"/>
      <c r="C146" s="134"/>
      <c r="D146" s="133"/>
      <c r="E146" s="134"/>
      <c r="F146" s="133"/>
      <c r="G146" s="40" t="s">
        <v>1161</v>
      </c>
      <c r="H146" s="133"/>
      <c r="I146" s="133"/>
      <c r="J146" s="134"/>
      <c r="K146" s="158"/>
      <c r="L146" s="73"/>
      <c r="N146" s="95"/>
    </row>
    <row r="147" spans="1:14" ht="27.95" customHeight="1" thickBot="1">
      <c r="A147" s="590" t="s">
        <v>1366</v>
      </c>
      <c r="B147" s="183"/>
      <c r="C147" s="127" t="s">
        <v>1367</v>
      </c>
      <c r="D147" s="127" t="s">
        <v>1368</v>
      </c>
      <c r="E147" s="127" t="s">
        <v>1369</v>
      </c>
      <c r="F147" s="183"/>
      <c r="G147" s="183"/>
      <c r="H147" s="183"/>
      <c r="I147" s="145" t="s">
        <v>1370</v>
      </c>
      <c r="J147" s="183"/>
      <c r="K147" s="205"/>
      <c r="L147" s="73"/>
      <c r="M147" s="73"/>
      <c r="N147" s="95"/>
    </row>
    <row r="148" spans="1:14" ht="16.5">
      <c r="A148" s="591"/>
      <c r="B148" s="200"/>
      <c r="C148" s="463" t="s">
        <v>1191</v>
      </c>
      <c r="D148" s="54" t="s">
        <v>1363</v>
      </c>
      <c r="E148" s="36" t="s">
        <v>1224</v>
      </c>
      <c r="F148" s="130"/>
      <c r="G148" s="130"/>
      <c r="H148" s="130"/>
      <c r="I148" s="44" t="s">
        <v>1229</v>
      </c>
      <c r="J148" s="130"/>
      <c r="K148" s="206"/>
      <c r="L148" s="73"/>
      <c r="M148" s="73"/>
      <c r="N148" s="95"/>
    </row>
    <row r="149" spans="1:14" ht="20.100000000000001" customHeight="1">
      <c r="A149" s="591"/>
      <c r="B149" s="199"/>
      <c r="C149" s="456" t="s">
        <v>1365</v>
      </c>
      <c r="D149" s="38" t="s">
        <v>1160</v>
      </c>
      <c r="E149" s="44" t="s">
        <v>1488</v>
      </c>
      <c r="F149" s="132"/>
      <c r="G149" s="134"/>
      <c r="H149" s="134"/>
      <c r="I149" s="452" t="s">
        <v>1302</v>
      </c>
      <c r="J149" s="134"/>
      <c r="K149" s="161"/>
      <c r="L149" s="207"/>
      <c r="M149" s="73"/>
      <c r="N149" s="95"/>
    </row>
    <row r="150" spans="1:14" ht="18" customHeight="1">
      <c r="A150" s="591"/>
      <c r="B150" s="147"/>
      <c r="C150" s="456" t="s">
        <v>1163</v>
      </c>
      <c r="D150" s="38" t="s">
        <v>1220</v>
      </c>
      <c r="E150" s="38" t="s">
        <v>1371</v>
      </c>
      <c r="F150" s="132"/>
      <c r="G150" s="132"/>
      <c r="H150" s="133"/>
      <c r="I150" s="46" t="s">
        <v>1616</v>
      </c>
      <c r="J150" s="133"/>
      <c r="K150" s="158"/>
      <c r="L150" s="73"/>
      <c r="M150" s="73"/>
      <c r="N150" s="95"/>
    </row>
    <row r="151" spans="1:14" ht="18" customHeight="1" thickBot="1">
      <c r="A151" s="591"/>
      <c r="B151" s="143"/>
      <c r="C151" s="46" t="s">
        <v>1610</v>
      </c>
      <c r="D151" s="131" t="s">
        <v>864</v>
      </c>
      <c r="E151" s="124" t="s">
        <v>1233</v>
      </c>
      <c r="F151" s="135"/>
      <c r="G151" s="122"/>
      <c r="H151" s="122"/>
      <c r="I151" s="131" t="s">
        <v>864</v>
      </c>
      <c r="J151" s="122"/>
      <c r="K151" s="162"/>
      <c r="L151" s="73"/>
      <c r="M151" s="73"/>
      <c r="N151" s="95"/>
    </row>
    <row r="152" spans="1:14" ht="30" customHeight="1" thickBot="1">
      <c r="A152" s="596" t="s">
        <v>40</v>
      </c>
      <c r="B152" s="486" t="s">
        <v>1372</v>
      </c>
      <c r="C152" s="487" t="s">
        <v>1373</v>
      </c>
      <c r="D152" s="487" t="s">
        <v>1374</v>
      </c>
      <c r="E152" s="487" t="s">
        <v>1375</v>
      </c>
      <c r="F152" s="487" t="s">
        <v>1733</v>
      </c>
      <c r="G152" s="487" t="s">
        <v>1376</v>
      </c>
      <c r="H152" s="487" t="s">
        <v>1377</v>
      </c>
      <c r="I152" s="487" t="s">
        <v>1746</v>
      </c>
      <c r="J152" s="487" t="s">
        <v>1376</v>
      </c>
      <c r="K152" s="488" t="s">
        <v>1378</v>
      </c>
      <c r="L152" s="73"/>
      <c r="M152" s="73"/>
      <c r="N152" s="95"/>
    </row>
    <row r="153" spans="1:14" ht="18" customHeight="1">
      <c r="A153" s="596"/>
      <c r="B153" s="152" t="s">
        <v>1159</v>
      </c>
      <c r="C153" s="36" t="s">
        <v>203</v>
      </c>
      <c r="D153" s="201" t="s">
        <v>1106</v>
      </c>
      <c r="E153" s="36" t="s">
        <v>1135</v>
      </c>
      <c r="F153" s="463" t="s">
        <v>1191</v>
      </c>
      <c r="G153" s="36" t="s">
        <v>1187</v>
      </c>
      <c r="H153" s="36" t="s">
        <v>1286</v>
      </c>
      <c r="I153" s="54" t="s">
        <v>1100</v>
      </c>
      <c r="J153" s="36" t="s">
        <v>1082</v>
      </c>
      <c r="K153" s="490" t="s">
        <v>1495</v>
      </c>
      <c r="L153" s="73"/>
      <c r="M153" s="73"/>
      <c r="N153" s="95"/>
    </row>
    <row r="154" spans="1:14" ht="18.95" customHeight="1">
      <c r="A154" s="596"/>
      <c r="B154" s="45" t="s">
        <v>1251</v>
      </c>
      <c r="C154" s="40" t="s">
        <v>1363</v>
      </c>
      <c r="D154" s="50" t="s">
        <v>1305</v>
      </c>
      <c r="E154" s="38" t="s">
        <v>1098</v>
      </c>
      <c r="F154" s="456" t="s">
        <v>1105</v>
      </c>
      <c r="G154" s="38" t="s">
        <v>1300</v>
      </c>
      <c r="H154" s="42" t="s">
        <v>1379</v>
      </c>
      <c r="I154" s="38" t="s">
        <v>1139</v>
      </c>
      <c r="J154" s="138" t="s">
        <v>1122</v>
      </c>
      <c r="K154" s="77" t="s">
        <v>1247</v>
      </c>
      <c r="L154" s="73"/>
      <c r="M154" s="73"/>
      <c r="N154" s="95"/>
    </row>
    <row r="155" spans="1:14" ht="18" customHeight="1">
      <c r="A155" s="596"/>
      <c r="B155" s="458" t="s">
        <v>1231</v>
      </c>
      <c r="C155" s="38" t="s">
        <v>1099</v>
      </c>
      <c r="D155" s="38" t="s">
        <v>1503</v>
      </c>
      <c r="E155" s="38" t="s">
        <v>1342</v>
      </c>
      <c r="F155" s="38" t="s">
        <v>1259</v>
      </c>
      <c r="G155" s="43" t="s">
        <v>1303</v>
      </c>
      <c r="H155" s="42" t="s">
        <v>1260</v>
      </c>
      <c r="I155" s="40" t="s">
        <v>1288</v>
      </c>
      <c r="J155" s="38" t="s">
        <v>1496</v>
      </c>
      <c r="K155" s="77" t="s">
        <v>1083</v>
      </c>
      <c r="L155" s="73"/>
      <c r="M155" s="73"/>
      <c r="N155" s="95"/>
    </row>
    <row r="156" spans="1:14" ht="18" customHeight="1">
      <c r="A156" s="596"/>
      <c r="B156" s="46" t="s">
        <v>1766</v>
      </c>
      <c r="C156" s="38" t="s">
        <v>1137</v>
      </c>
      <c r="D156" s="39" t="s">
        <v>1531</v>
      </c>
      <c r="E156" s="89" t="s">
        <v>1319</v>
      </c>
      <c r="F156" s="452" t="s">
        <v>1302</v>
      </c>
      <c r="G156" s="452" t="s">
        <v>1738</v>
      </c>
      <c r="H156" s="39" t="s">
        <v>234</v>
      </c>
      <c r="I156" s="65" t="s">
        <v>825</v>
      </c>
      <c r="J156" s="131" t="s">
        <v>864</v>
      </c>
      <c r="K156" s="77" t="s">
        <v>1262</v>
      </c>
      <c r="L156" s="73"/>
      <c r="M156" s="73"/>
      <c r="N156" s="95"/>
    </row>
    <row r="157" spans="1:14" ht="18" customHeight="1">
      <c r="A157" s="596"/>
      <c r="B157" s="119" t="s">
        <v>864</v>
      </c>
      <c r="C157" s="46" t="s">
        <v>1702</v>
      </c>
      <c r="D157" s="39" t="s">
        <v>1206</v>
      </c>
      <c r="E157" s="38" t="s">
        <v>542</v>
      </c>
      <c r="F157" s="46" t="s">
        <v>1684</v>
      </c>
      <c r="G157" s="131" t="s">
        <v>864</v>
      </c>
      <c r="H157" s="229" t="s">
        <v>879</v>
      </c>
      <c r="I157" s="39" t="s">
        <v>240</v>
      </c>
      <c r="J157" s="131" t="s">
        <v>864</v>
      </c>
      <c r="K157" s="77" t="s">
        <v>1265</v>
      </c>
      <c r="L157" s="73"/>
      <c r="M157" s="73"/>
      <c r="N157" s="95"/>
    </row>
    <row r="158" spans="1:14" ht="17.100000000000001" customHeight="1">
      <c r="A158" s="596"/>
      <c r="B158" s="119" t="s">
        <v>864</v>
      </c>
      <c r="C158" s="131" t="s">
        <v>864</v>
      </c>
      <c r="D158" s="131" t="s">
        <v>864</v>
      </c>
      <c r="E158" s="48" t="s">
        <v>229</v>
      </c>
      <c r="F158" s="131" t="s">
        <v>864</v>
      </c>
      <c r="G158" s="131" t="s">
        <v>864</v>
      </c>
      <c r="H158" s="131" t="s">
        <v>864</v>
      </c>
      <c r="I158" s="44" t="s">
        <v>1186</v>
      </c>
      <c r="J158" s="131" t="s">
        <v>864</v>
      </c>
      <c r="K158" s="77" t="s">
        <v>1257</v>
      </c>
      <c r="L158" s="73"/>
      <c r="M158" s="73"/>
      <c r="N158" s="95"/>
    </row>
    <row r="159" spans="1:14" ht="15.95" customHeight="1">
      <c r="A159" s="596"/>
      <c r="B159" s="119" t="s">
        <v>864</v>
      </c>
      <c r="C159" s="131" t="s">
        <v>864</v>
      </c>
      <c r="D159" s="131" t="s">
        <v>864</v>
      </c>
      <c r="E159" s="131" t="s">
        <v>864</v>
      </c>
      <c r="F159" s="131" t="s">
        <v>864</v>
      </c>
      <c r="G159" s="131" t="s">
        <v>864</v>
      </c>
      <c r="H159" s="131" t="s">
        <v>864</v>
      </c>
      <c r="I159" s="402" t="s">
        <v>1206</v>
      </c>
      <c r="J159" s="131" t="s">
        <v>864</v>
      </c>
      <c r="K159" s="82" t="s">
        <v>1729</v>
      </c>
      <c r="L159" s="73"/>
      <c r="M159" s="73"/>
      <c r="N159" s="95"/>
    </row>
    <row r="160" spans="1:14" ht="17.100000000000001" customHeight="1">
      <c r="A160" s="596"/>
      <c r="B160" s="119" t="s">
        <v>864</v>
      </c>
      <c r="C160" s="131" t="s">
        <v>864</v>
      </c>
      <c r="D160" s="131" t="s">
        <v>864</v>
      </c>
      <c r="E160" s="131" t="s">
        <v>864</v>
      </c>
      <c r="F160" s="131" t="s">
        <v>864</v>
      </c>
      <c r="G160" s="131" t="s">
        <v>864</v>
      </c>
      <c r="H160" s="131" t="s">
        <v>864</v>
      </c>
      <c r="I160" s="131" t="s">
        <v>864</v>
      </c>
      <c r="J160" s="131" t="s">
        <v>864</v>
      </c>
      <c r="K160" s="208"/>
      <c r="L160" s="73"/>
      <c r="M160" s="73"/>
      <c r="N160" s="95"/>
    </row>
    <row r="161" spans="1:14" ht="18" customHeight="1">
      <c r="A161" s="596"/>
      <c r="B161" s="119" t="s">
        <v>864</v>
      </c>
      <c r="C161" s="131" t="s">
        <v>864</v>
      </c>
      <c r="D161" s="131" t="s">
        <v>864</v>
      </c>
      <c r="E161" s="131" t="s">
        <v>864</v>
      </c>
      <c r="F161" s="131" t="s">
        <v>864</v>
      </c>
      <c r="G161" s="131" t="s">
        <v>864</v>
      </c>
      <c r="H161" s="131" t="s">
        <v>864</v>
      </c>
      <c r="I161" s="131" t="s">
        <v>864</v>
      </c>
      <c r="J161" s="131" t="s">
        <v>864</v>
      </c>
      <c r="K161" s="208"/>
      <c r="L161" s="73"/>
      <c r="M161" s="73"/>
      <c r="N161" s="95"/>
    </row>
    <row r="162" spans="1:14" ht="15" customHeight="1">
      <c r="A162" s="596"/>
      <c r="B162" s="119" t="s">
        <v>864</v>
      </c>
      <c r="C162" s="131" t="s">
        <v>864</v>
      </c>
      <c r="D162" s="131" t="s">
        <v>864</v>
      </c>
      <c r="E162" s="131" t="s">
        <v>864</v>
      </c>
      <c r="F162" s="131" t="s">
        <v>864</v>
      </c>
      <c r="G162" s="131" t="s">
        <v>864</v>
      </c>
      <c r="H162" s="131" t="s">
        <v>864</v>
      </c>
      <c r="I162" s="131" t="s">
        <v>864</v>
      </c>
      <c r="J162" s="131" t="s">
        <v>864</v>
      </c>
      <c r="K162" s="208"/>
      <c r="L162" s="73"/>
      <c r="M162" s="73"/>
      <c r="N162" s="95"/>
    </row>
    <row r="163" spans="1:14" ht="15.75" thickBot="1">
      <c r="A163" s="597"/>
      <c r="B163" s="139" t="s">
        <v>864</v>
      </c>
      <c r="C163" s="123" t="s">
        <v>864</v>
      </c>
      <c r="D163" s="123" t="s">
        <v>864</v>
      </c>
      <c r="E163" s="123" t="s">
        <v>864</v>
      </c>
      <c r="F163" s="123" t="s">
        <v>864</v>
      </c>
      <c r="G163" s="123" t="s">
        <v>864</v>
      </c>
      <c r="H163" s="123" t="s">
        <v>864</v>
      </c>
      <c r="I163" s="123" t="s">
        <v>864</v>
      </c>
      <c r="J163" s="123" t="s">
        <v>864</v>
      </c>
      <c r="K163" s="189"/>
      <c r="L163" s="73"/>
      <c r="M163" s="73"/>
      <c r="N163" s="95"/>
    </row>
    <row r="164" spans="1:14" ht="27" hidden="1" customHeight="1">
      <c r="A164" s="598" t="s">
        <v>1380</v>
      </c>
      <c r="B164" s="202"/>
      <c r="C164" s="183"/>
      <c r="D164" s="183"/>
      <c r="E164" s="489"/>
      <c r="F164" s="183"/>
      <c r="G164" s="183"/>
      <c r="H164" s="183"/>
      <c r="I164" s="183"/>
      <c r="J164" s="183"/>
      <c r="K164" s="183"/>
      <c r="L164" s="99"/>
      <c r="M164" s="73"/>
      <c r="N164" s="95"/>
    </row>
    <row r="165" spans="1:14" ht="18" hidden="1" customHeight="1">
      <c r="A165" s="598"/>
      <c r="B165" s="200"/>
      <c r="C165" s="130"/>
      <c r="D165" s="130"/>
      <c r="E165" s="132"/>
      <c r="F165" s="130"/>
      <c r="G165" s="130"/>
      <c r="H165" s="130"/>
      <c r="I165" s="130"/>
      <c r="J165" s="130"/>
      <c r="K165" s="130"/>
      <c r="L165" s="73"/>
      <c r="M165" s="73"/>
      <c r="N165" s="95"/>
    </row>
    <row r="166" spans="1:14" hidden="1">
      <c r="A166" s="598"/>
      <c r="B166" s="199"/>
      <c r="C166" s="132"/>
      <c r="D166" s="132"/>
      <c r="E166" s="132"/>
      <c r="F166" s="132"/>
      <c r="G166" s="132"/>
      <c r="H166" s="132"/>
      <c r="I166" s="132"/>
      <c r="J166" s="132"/>
      <c r="K166" s="132"/>
      <c r="L166" s="73"/>
      <c r="M166" s="73"/>
      <c r="N166" s="95"/>
    </row>
    <row r="167" spans="1:14" hidden="1">
      <c r="A167" s="598"/>
      <c r="B167" s="199"/>
      <c r="C167" s="132"/>
      <c r="D167" s="132"/>
      <c r="E167" s="132"/>
      <c r="F167" s="132"/>
      <c r="G167" s="132"/>
      <c r="H167" s="132"/>
      <c r="I167" s="132"/>
      <c r="J167" s="132"/>
      <c r="K167" s="132"/>
      <c r="L167" s="73"/>
      <c r="M167" s="73"/>
      <c r="N167" s="95"/>
    </row>
    <row r="168" spans="1:14" hidden="1">
      <c r="A168" s="598"/>
      <c r="B168" s="199"/>
      <c r="C168" s="132"/>
      <c r="D168" s="132"/>
      <c r="E168" s="132"/>
      <c r="F168" s="132"/>
      <c r="G168" s="132"/>
      <c r="H168" s="132"/>
      <c r="I168" s="132"/>
      <c r="J168" s="132"/>
      <c r="K168" s="208"/>
      <c r="L168" s="73"/>
      <c r="M168" s="73"/>
      <c r="N168" s="95"/>
    </row>
    <row r="169" spans="1:14" hidden="1">
      <c r="A169" s="598"/>
      <c r="B169" s="199"/>
      <c r="C169" s="132"/>
      <c r="D169" s="132"/>
      <c r="E169" s="132"/>
      <c r="F169" s="132"/>
      <c r="G169" s="132"/>
      <c r="H169" s="132"/>
      <c r="I169" s="132"/>
      <c r="J169" s="132"/>
      <c r="K169" s="208"/>
      <c r="L169" s="73"/>
      <c r="M169" s="73"/>
      <c r="N169" s="95"/>
    </row>
    <row r="170" spans="1:14" hidden="1">
      <c r="A170" s="598"/>
      <c r="B170" s="199"/>
      <c r="C170" s="132"/>
      <c r="D170" s="132"/>
      <c r="E170" s="134"/>
      <c r="F170" s="132"/>
      <c r="G170" s="132"/>
      <c r="H170" s="132"/>
      <c r="I170" s="132"/>
      <c r="J170" s="132"/>
      <c r="K170" s="208"/>
      <c r="L170" s="73"/>
      <c r="M170" s="73"/>
      <c r="N170" s="95"/>
    </row>
    <row r="171" spans="1:14" ht="15.75" hidden="1" thickBot="1">
      <c r="A171" s="598"/>
      <c r="B171" s="199"/>
      <c r="C171" s="134"/>
      <c r="D171" s="134"/>
      <c r="E171" s="135"/>
      <c r="F171" s="132"/>
      <c r="G171" s="134"/>
      <c r="H171" s="134"/>
      <c r="I171" s="134"/>
      <c r="J171" s="132"/>
      <c r="K171" s="208"/>
      <c r="L171" s="73"/>
      <c r="M171" s="73"/>
      <c r="N171" s="95"/>
    </row>
    <row r="172" spans="1:14" ht="15.75" hidden="1" thickBot="1">
      <c r="A172" s="598"/>
      <c r="B172" s="174"/>
      <c r="C172" s="135"/>
      <c r="D172" s="135"/>
      <c r="E172" s="73"/>
      <c r="F172" s="135"/>
      <c r="G172" s="135"/>
      <c r="H172" s="135"/>
      <c r="I172" s="135"/>
      <c r="J172" s="135"/>
      <c r="K172" s="162"/>
      <c r="L172" s="73"/>
      <c r="M172" s="73"/>
      <c r="N172" s="95"/>
    </row>
    <row r="173" spans="1:14">
      <c r="A173" s="94"/>
      <c r="B173" s="94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95"/>
    </row>
    <row r="174" spans="1:14">
      <c r="A174" s="94"/>
      <c r="B174" s="94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95"/>
    </row>
    <row r="175" spans="1:14">
      <c r="A175" s="94"/>
      <c r="B175" s="94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95"/>
    </row>
    <row r="176" spans="1:14">
      <c r="A176" s="94"/>
      <c r="B176" s="94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95"/>
    </row>
    <row r="177" spans="1:14">
      <c r="A177" s="94"/>
      <c r="B177" s="94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95"/>
    </row>
    <row r="178" spans="1:14">
      <c r="A178" s="94"/>
      <c r="B178" s="94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95"/>
    </row>
    <row r="179" spans="1:14">
      <c r="A179" s="94"/>
      <c r="B179" s="94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95"/>
    </row>
    <row r="180" spans="1:14">
      <c r="A180" s="94"/>
      <c r="B180" s="94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95"/>
    </row>
    <row r="181" spans="1:14">
      <c r="A181" s="94"/>
      <c r="B181" s="94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95"/>
    </row>
    <row r="182" spans="1:14">
      <c r="A182" s="94"/>
      <c r="B182" s="94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95"/>
    </row>
    <row r="183" spans="1:14">
      <c r="A183" s="94"/>
      <c r="B183" s="94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95"/>
    </row>
    <row r="184" spans="1:14">
      <c r="A184" s="94"/>
      <c r="B184" s="94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95"/>
    </row>
    <row r="185" spans="1:14">
      <c r="A185" s="94"/>
      <c r="B185" s="94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95"/>
    </row>
    <row r="186" spans="1:14">
      <c r="A186" s="94"/>
      <c r="B186" s="94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</row>
    <row r="187" spans="1:14" hidden="1">
      <c r="A187" s="94"/>
      <c r="B187" s="94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</row>
    <row r="188" spans="1:14" hidden="1">
      <c r="A188" s="94"/>
      <c r="B188" s="94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95"/>
    </row>
    <row r="189" spans="1:14">
      <c r="A189" s="94"/>
      <c r="B189" s="94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95"/>
    </row>
    <row r="190" spans="1:14">
      <c r="A190" s="94"/>
      <c r="B190" s="94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95"/>
    </row>
    <row r="191" spans="1:14">
      <c r="A191" s="94"/>
      <c r="B191" s="94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95"/>
    </row>
    <row r="192" spans="1:14">
      <c r="A192" s="94"/>
      <c r="B192" s="94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95"/>
    </row>
    <row r="193" spans="1:14">
      <c r="A193" s="94"/>
      <c r="B193" s="94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95"/>
    </row>
    <row r="194" spans="1:14">
      <c r="A194" s="94"/>
      <c r="B194" s="94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95"/>
    </row>
    <row r="195" spans="1:14">
      <c r="A195" s="94"/>
      <c r="B195" s="94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95"/>
    </row>
    <row r="196" spans="1:14">
      <c r="A196" s="94"/>
      <c r="B196" s="94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95"/>
    </row>
    <row r="197" spans="1:14" hidden="1">
      <c r="A197" s="94"/>
      <c r="B197" s="94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95"/>
    </row>
    <row r="198" spans="1:14" hidden="1">
      <c r="A198" s="94"/>
      <c r="B198" s="94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95"/>
    </row>
    <row r="199" spans="1:14">
      <c r="A199" s="94"/>
      <c r="B199" s="94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95"/>
    </row>
    <row r="200" spans="1:14">
      <c r="A200" s="94"/>
      <c r="B200" s="94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95"/>
    </row>
    <row r="201" spans="1:14">
      <c r="A201" s="94"/>
      <c r="B201" s="94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95"/>
    </row>
    <row r="202" spans="1:14">
      <c r="A202" s="94"/>
      <c r="B202" s="94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95"/>
    </row>
    <row r="203" spans="1:14">
      <c r="A203" s="94"/>
      <c r="B203" s="94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95"/>
    </row>
    <row r="204" spans="1:14">
      <c r="A204" s="94"/>
      <c r="B204" s="94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95"/>
    </row>
    <row r="205" spans="1:14">
      <c r="A205" s="94"/>
      <c r="B205" s="94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95"/>
    </row>
    <row r="206" spans="1:14">
      <c r="A206" s="94"/>
      <c r="B206" s="94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95"/>
    </row>
    <row r="207" spans="1:14">
      <c r="A207" s="94"/>
      <c r="B207" s="94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95"/>
    </row>
    <row r="208" spans="1:14">
      <c r="A208" s="94"/>
      <c r="B208" s="94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95"/>
    </row>
    <row r="209" spans="1:14">
      <c r="A209" s="94"/>
      <c r="B209" s="94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95"/>
    </row>
    <row r="210" spans="1:14">
      <c r="A210" s="94"/>
      <c r="B210" s="94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95"/>
    </row>
    <row r="211" spans="1:14" hidden="1">
      <c r="A211" s="94"/>
      <c r="B211" s="94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95"/>
    </row>
    <row r="212" spans="1:14" hidden="1">
      <c r="A212" s="94"/>
      <c r="B212" s="94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95"/>
    </row>
    <row r="213" spans="1:14">
      <c r="A213" s="94"/>
      <c r="B213" s="94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95"/>
    </row>
    <row r="214" spans="1:14">
      <c r="A214" s="94"/>
      <c r="B214" s="94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95"/>
    </row>
    <row r="215" spans="1:14">
      <c r="A215" s="94"/>
      <c r="B215" s="94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95"/>
    </row>
    <row r="216" spans="1:14">
      <c r="A216" s="94"/>
      <c r="B216" s="94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95"/>
    </row>
    <row r="217" spans="1:14">
      <c r="A217" s="94"/>
      <c r="B217" s="94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95"/>
    </row>
    <row r="218" spans="1:14">
      <c r="A218" s="94"/>
      <c r="B218" s="94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95"/>
    </row>
    <row r="219" spans="1:14">
      <c r="A219" s="94"/>
      <c r="B219" s="94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95"/>
    </row>
    <row r="220" spans="1:14">
      <c r="A220" s="94"/>
      <c r="B220" s="94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95"/>
    </row>
    <row r="221" spans="1:14">
      <c r="A221" s="94"/>
      <c r="B221" s="94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95"/>
    </row>
    <row r="222" spans="1:14">
      <c r="A222" s="94"/>
      <c r="B222" s="94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95"/>
    </row>
    <row r="223" spans="1:14">
      <c r="A223" s="94"/>
      <c r="B223" s="94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95"/>
    </row>
    <row r="224" spans="1:14">
      <c r="A224" s="94"/>
      <c r="B224" s="94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95"/>
    </row>
    <row r="225" spans="1:14">
      <c r="A225" s="94"/>
      <c r="B225" s="94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95"/>
    </row>
    <row r="226" spans="1:14">
      <c r="A226" s="94"/>
      <c r="B226" s="94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95"/>
    </row>
    <row r="227" spans="1:14">
      <c r="A227" s="94"/>
      <c r="B227" s="94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95"/>
    </row>
    <row r="228" spans="1:14">
      <c r="A228" s="94"/>
      <c r="B228" s="94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95"/>
    </row>
    <row r="229" spans="1:14">
      <c r="A229" s="94"/>
      <c r="B229" s="94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95"/>
    </row>
    <row r="230" spans="1:14">
      <c r="A230" s="94"/>
      <c r="B230" s="94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95"/>
    </row>
    <row r="231" spans="1:14">
      <c r="A231" s="94"/>
      <c r="B231" s="94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95"/>
    </row>
    <row r="232" spans="1:14">
      <c r="A232" s="94"/>
      <c r="B232" s="9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95"/>
    </row>
    <row r="233" spans="1:14">
      <c r="A233" s="94"/>
      <c r="B233" s="94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95"/>
    </row>
    <row r="234" spans="1:14">
      <c r="A234" s="94"/>
      <c r="B234" s="94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95"/>
    </row>
    <row r="235" spans="1:14">
      <c r="A235" s="94"/>
      <c r="B235" s="94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95"/>
    </row>
    <row r="236" spans="1:14">
      <c r="A236" s="94"/>
      <c r="B236" s="94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95"/>
    </row>
    <row r="237" spans="1:14">
      <c r="A237" s="94"/>
      <c r="B237" s="94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95"/>
    </row>
    <row r="238" spans="1:14">
      <c r="A238" s="94"/>
      <c r="B238" s="94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95"/>
    </row>
    <row r="239" spans="1:14">
      <c r="A239" s="94"/>
      <c r="B239" s="94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95"/>
    </row>
    <row r="240" spans="1:14">
      <c r="A240" s="94"/>
      <c r="B240" s="94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95"/>
    </row>
    <row r="241" spans="1:14">
      <c r="A241" s="94"/>
      <c r="B241" s="94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95"/>
    </row>
    <row r="242" spans="1:14">
      <c r="A242" s="94"/>
      <c r="B242" s="94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95"/>
    </row>
    <row r="243" spans="1:14">
      <c r="A243" s="94"/>
      <c r="B243" s="94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95"/>
    </row>
    <row r="244" spans="1:14">
      <c r="A244" s="94"/>
      <c r="B244" s="94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95"/>
    </row>
    <row r="245" spans="1:14">
      <c r="A245" s="94"/>
      <c r="B245" s="94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95"/>
    </row>
    <row r="246" spans="1:14">
      <c r="A246" s="94"/>
      <c r="B246" s="94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95"/>
    </row>
    <row r="247" spans="1:14">
      <c r="A247" s="94"/>
      <c r="B247" s="94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95"/>
    </row>
    <row r="248" spans="1:14">
      <c r="A248" s="94"/>
      <c r="B248" s="94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95"/>
    </row>
    <row r="249" spans="1:14">
      <c r="A249" s="94"/>
      <c r="B249" s="94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95"/>
    </row>
    <row r="250" spans="1:14">
      <c r="A250" s="94"/>
      <c r="B250" s="94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95"/>
    </row>
    <row r="251" spans="1:14">
      <c r="A251" s="94"/>
      <c r="B251" s="94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95"/>
    </row>
    <row r="252" spans="1:14">
      <c r="A252" s="94"/>
      <c r="B252" s="94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95"/>
    </row>
    <row r="253" spans="1:14">
      <c r="A253" s="94"/>
      <c r="B253" s="94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95"/>
    </row>
    <row r="254" spans="1:14">
      <c r="A254" s="94"/>
      <c r="B254" s="94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95"/>
    </row>
    <row r="255" spans="1:14">
      <c r="A255" s="94"/>
      <c r="B255" s="94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95"/>
    </row>
    <row r="256" spans="1:14">
      <c r="A256" s="94"/>
      <c r="B256" s="94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95"/>
    </row>
    <row r="257" spans="1:14">
      <c r="A257" s="94"/>
      <c r="B257" s="94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95"/>
    </row>
    <row r="258" spans="1:14">
      <c r="A258" s="94"/>
      <c r="B258" s="94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95"/>
    </row>
    <row r="259" spans="1:14">
      <c r="A259" s="94"/>
      <c r="B259" s="94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95"/>
    </row>
    <row r="260" spans="1:14">
      <c r="A260" s="94"/>
      <c r="B260" s="94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95"/>
    </row>
    <row r="261" spans="1:14">
      <c r="A261" s="94"/>
      <c r="B261" s="94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95"/>
    </row>
    <row r="262" spans="1:14">
      <c r="A262" s="94"/>
      <c r="B262" s="94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95"/>
    </row>
    <row r="263" spans="1:14">
      <c r="A263" s="94"/>
      <c r="B263" s="94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95"/>
    </row>
    <row r="264" spans="1:14">
      <c r="A264" s="94"/>
      <c r="B264" s="94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95"/>
    </row>
    <row r="265" spans="1:14">
      <c r="A265" s="94"/>
      <c r="B265" s="94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95"/>
    </row>
    <row r="266" spans="1:14">
      <c r="A266" s="94"/>
      <c r="B266" s="94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95"/>
    </row>
    <row r="267" spans="1:14">
      <c r="A267" s="94"/>
      <c r="B267" s="94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95"/>
    </row>
    <row r="268" spans="1:14">
      <c r="A268" s="94"/>
      <c r="B268" s="94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95"/>
    </row>
    <row r="269" spans="1:14">
      <c r="A269" s="94"/>
      <c r="B269" s="94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95"/>
    </row>
    <row r="270" spans="1:14">
      <c r="A270" s="94"/>
      <c r="B270" s="94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95"/>
    </row>
    <row r="271" spans="1:14">
      <c r="A271" s="94"/>
      <c r="B271" s="94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95"/>
    </row>
    <row r="272" spans="1:14">
      <c r="A272" s="94"/>
      <c r="B272" s="94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95"/>
    </row>
    <row r="273" spans="1:14">
      <c r="A273" s="94"/>
      <c r="B273" s="94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95"/>
    </row>
    <row r="274" spans="1:14">
      <c r="A274" s="94"/>
      <c r="B274" s="94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95"/>
    </row>
    <row r="275" spans="1:14">
      <c r="A275" s="94"/>
      <c r="B275" s="94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95"/>
    </row>
    <row r="276" spans="1:14">
      <c r="A276" s="94"/>
      <c r="B276" s="94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95"/>
    </row>
    <row r="277" spans="1:14">
      <c r="A277" s="94"/>
      <c r="B277" s="94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95"/>
    </row>
    <row r="278" spans="1:14">
      <c r="A278" s="94"/>
      <c r="B278" s="94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95"/>
    </row>
    <row r="279" spans="1:14">
      <c r="A279" s="94"/>
      <c r="B279" s="94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95"/>
    </row>
    <row r="280" spans="1:14">
      <c r="A280" s="94"/>
      <c r="B280" s="94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95"/>
    </row>
    <row r="281" spans="1:14">
      <c r="A281" s="94"/>
      <c r="B281" s="94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95"/>
    </row>
    <row r="282" spans="1:14">
      <c r="A282" s="94"/>
      <c r="B282" s="94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95"/>
    </row>
    <row r="283" spans="1:14">
      <c r="A283" s="94"/>
      <c r="B283" s="94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95"/>
    </row>
    <row r="284" spans="1:14">
      <c r="A284" s="94"/>
      <c r="B284" s="94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95"/>
    </row>
    <row r="285" spans="1:14">
      <c r="A285" s="94"/>
      <c r="B285" s="94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95"/>
    </row>
    <row r="286" spans="1:14">
      <c r="A286" s="94"/>
      <c r="B286" s="94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95"/>
    </row>
    <row r="287" spans="1:14">
      <c r="A287" s="94"/>
      <c r="B287" s="94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95"/>
    </row>
    <row r="288" spans="1:14">
      <c r="A288" s="94"/>
      <c r="B288" s="94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95"/>
    </row>
    <row r="289" spans="1:14">
      <c r="A289" s="94"/>
      <c r="B289" s="94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95"/>
    </row>
    <row r="290" spans="1:14">
      <c r="A290" s="94"/>
      <c r="B290" s="94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95"/>
    </row>
    <row r="291" spans="1:14">
      <c r="A291" s="94"/>
      <c r="B291" s="94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95"/>
    </row>
    <row r="292" spans="1:14">
      <c r="A292" s="94"/>
      <c r="B292" s="94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95"/>
    </row>
    <row r="293" spans="1:14">
      <c r="A293" s="94"/>
      <c r="B293" s="94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95"/>
    </row>
    <row r="294" spans="1:14">
      <c r="A294" s="94"/>
      <c r="B294" s="94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95"/>
    </row>
    <row r="295" spans="1:14">
      <c r="A295" s="94"/>
      <c r="B295" s="94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95"/>
    </row>
    <row r="296" spans="1:14">
      <c r="A296" s="94"/>
      <c r="B296" s="94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95"/>
    </row>
    <row r="297" spans="1:14">
      <c r="A297" s="94"/>
      <c r="B297" s="94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95"/>
    </row>
    <row r="298" spans="1:14">
      <c r="A298" s="94"/>
      <c r="B298" s="94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95"/>
    </row>
    <row r="299" spans="1:14">
      <c r="A299" s="94"/>
      <c r="B299" s="94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95"/>
    </row>
    <row r="300" spans="1:14">
      <c r="A300" s="94"/>
      <c r="B300" s="94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95"/>
    </row>
    <row r="301" spans="1:14">
      <c r="A301" s="94"/>
      <c r="B301" s="94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95"/>
    </row>
    <row r="302" spans="1:14">
      <c r="A302" s="94"/>
      <c r="B302" s="94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95"/>
    </row>
    <row r="303" spans="1:14">
      <c r="A303" s="94"/>
      <c r="B303" s="94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95"/>
    </row>
    <row r="304" spans="1:14">
      <c r="A304" s="94"/>
      <c r="B304" s="94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95"/>
    </row>
    <row r="305" spans="1:14">
      <c r="A305" s="94"/>
      <c r="B305" s="94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95"/>
    </row>
    <row r="306" spans="1:14">
      <c r="A306" s="94"/>
      <c r="B306" s="94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95"/>
    </row>
    <row r="307" spans="1:14">
      <c r="A307" s="94"/>
      <c r="B307" s="94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95"/>
    </row>
    <row r="308" spans="1:14">
      <c r="A308" s="94"/>
      <c r="B308" s="94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95"/>
    </row>
    <row r="309" spans="1:14">
      <c r="A309" s="94"/>
      <c r="B309" s="94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95"/>
    </row>
    <row r="310" spans="1:14">
      <c r="A310" s="94"/>
      <c r="B310" s="94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95"/>
    </row>
    <row r="311" spans="1:14">
      <c r="A311" s="94"/>
      <c r="B311" s="94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95"/>
    </row>
    <row r="312" spans="1:14">
      <c r="A312" s="94"/>
      <c r="B312" s="94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95"/>
    </row>
    <row r="313" spans="1:14">
      <c r="A313" s="94"/>
      <c r="B313" s="94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95"/>
    </row>
    <row r="314" spans="1:14">
      <c r="A314" s="94"/>
      <c r="B314" s="94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95"/>
    </row>
    <row r="315" spans="1:14">
      <c r="A315" s="94"/>
      <c r="B315" s="94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95"/>
    </row>
    <row r="316" spans="1:14">
      <c r="A316" s="94"/>
      <c r="B316" s="9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95"/>
    </row>
    <row r="317" spans="1:14">
      <c r="A317" s="94"/>
      <c r="B317" s="9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95"/>
    </row>
    <row r="318" spans="1:14">
      <c r="A318" s="94"/>
      <c r="B318" s="94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95"/>
    </row>
    <row r="319" spans="1:14">
      <c r="A319" s="94"/>
      <c r="B319" s="94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95"/>
    </row>
    <row r="320" spans="1:14">
      <c r="A320" s="94"/>
      <c r="B320" s="94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95"/>
    </row>
    <row r="321" spans="1:14">
      <c r="A321" s="94"/>
      <c r="B321" s="94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95"/>
    </row>
    <row r="322" spans="1:14">
      <c r="A322" s="94"/>
      <c r="B322" s="94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95"/>
    </row>
    <row r="323" spans="1:14">
      <c r="A323" s="94"/>
      <c r="B323" s="94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95"/>
    </row>
    <row r="324" spans="1:14">
      <c r="A324" s="94"/>
      <c r="B324" s="94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95"/>
    </row>
    <row r="325" spans="1:14">
      <c r="A325" s="94"/>
      <c r="B325" s="94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95"/>
    </row>
    <row r="326" spans="1:14">
      <c r="A326" s="94"/>
      <c r="B326" s="94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95"/>
    </row>
    <row r="327" spans="1:14">
      <c r="A327" s="94"/>
      <c r="B327" s="94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95"/>
    </row>
    <row r="328" spans="1:14">
      <c r="A328" s="94"/>
      <c r="B328" s="94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95"/>
    </row>
    <row r="329" spans="1:14">
      <c r="A329" s="94"/>
      <c r="B329" s="94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95"/>
    </row>
    <row r="330" spans="1:14">
      <c r="A330" s="94"/>
      <c r="B330" s="94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95"/>
    </row>
    <row r="331" spans="1:14">
      <c r="A331" s="94"/>
      <c r="B331" s="94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95"/>
    </row>
    <row r="332" spans="1:14">
      <c r="A332" s="94"/>
      <c r="B332" s="94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95"/>
    </row>
    <row r="333" spans="1:14">
      <c r="A333" s="94"/>
      <c r="B333" s="94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95"/>
    </row>
    <row r="334" spans="1:14">
      <c r="A334" s="94"/>
      <c r="B334" s="94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95"/>
    </row>
    <row r="335" spans="1:14">
      <c r="A335" s="94"/>
      <c r="B335" s="94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95"/>
    </row>
    <row r="336" spans="1:14">
      <c r="A336" s="94"/>
      <c r="B336" s="94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95"/>
    </row>
    <row r="337" spans="1:14">
      <c r="A337" s="94"/>
      <c r="B337" s="94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95"/>
    </row>
    <row r="338" spans="1:14">
      <c r="A338" s="94"/>
      <c r="B338" s="94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95"/>
    </row>
    <row r="339" spans="1:14">
      <c r="A339" s="94"/>
      <c r="B339" s="94"/>
      <c r="C339" s="73"/>
      <c r="D339" s="73"/>
      <c r="E339" s="73"/>
      <c r="F339" s="73"/>
      <c r="G339" s="73"/>
      <c r="H339" s="73"/>
      <c r="I339" s="73"/>
      <c r="J339" s="73"/>
      <c r="K339" s="73"/>
    </row>
    <row r="340" spans="1:14">
      <c r="A340" s="94"/>
      <c r="B340" s="94"/>
      <c r="C340" s="73"/>
      <c r="D340" s="73"/>
      <c r="E340" s="73"/>
      <c r="F340" s="73"/>
      <c r="G340" s="73"/>
      <c r="H340" s="73"/>
      <c r="I340" s="73"/>
      <c r="J340" s="73"/>
      <c r="K340" s="73"/>
    </row>
    <row r="341" spans="1:14">
      <c r="A341" s="94"/>
      <c r="B341" s="94"/>
      <c r="C341" s="73"/>
      <c r="D341" s="73"/>
      <c r="E341" s="73"/>
      <c r="F341" s="73"/>
      <c r="G341" s="73"/>
      <c r="H341" s="73"/>
      <c r="I341" s="73"/>
      <c r="J341" s="73"/>
      <c r="K341" s="73"/>
    </row>
    <row r="342" spans="1:14">
      <c r="A342" s="94"/>
      <c r="B342" s="94"/>
      <c r="C342" s="73"/>
      <c r="D342" s="73"/>
      <c r="E342" s="73"/>
      <c r="F342" s="73"/>
      <c r="G342" s="73"/>
      <c r="H342" s="73"/>
      <c r="I342" s="73"/>
      <c r="J342" s="73"/>
      <c r="K342" s="73"/>
    </row>
    <row r="343" spans="1:14">
      <c r="A343" s="94"/>
      <c r="B343" s="94"/>
      <c r="C343" s="73"/>
      <c r="D343" s="73"/>
      <c r="E343" s="73"/>
      <c r="F343" s="73"/>
      <c r="G343" s="73"/>
      <c r="H343" s="73"/>
      <c r="I343" s="73"/>
      <c r="J343" s="73"/>
      <c r="K343" s="73"/>
    </row>
    <row r="344" spans="1:14">
      <c r="A344" s="94"/>
      <c r="B344" s="94"/>
      <c r="C344" s="73"/>
      <c r="D344" s="73"/>
      <c r="E344" s="73"/>
      <c r="F344" s="73"/>
      <c r="G344" s="73"/>
      <c r="H344" s="73"/>
      <c r="I344" s="73"/>
      <c r="J344" s="73"/>
      <c r="K344" s="73"/>
    </row>
    <row r="345" spans="1:14">
      <c r="A345" s="94"/>
      <c r="B345" s="94"/>
      <c r="C345" s="73"/>
      <c r="D345" s="73"/>
      <c r="E345" s="73"/>
      <c r="F345" s="73"/>
      <c r="G345" s="73"/>
      <c r="H345" s="73"/>
      <c r="I345" s="73"/>
      <c r="J345" s="73"/>
      <c r="K345" s="73"/>
    </row>
    <row r="346" spans="1:14">
      <c r="A346" s="94"/>
      <c r="B346" s="94"/>
      <c r="C346" s="73"/>
      <c r="D346" s="73"/>
      <c r="E346" s="73"/>
      <c r="F346" s="73"/>
      <c r="G346" s="73"/>
      <c r="H346" s="73"/>
      <c r="I346" s="73"/>
      <c r="J346" s="73"/>
      <c r="K346" s="73"/>
    </row>
    <row r="347" spans="1:14">
      <c r="A347" s="94"/>
      <c r="B347" s="94"/>
      <c r="C347" s="73"/>
      <c r="D347" s="73"/>
      <c r="E347" s="73"/>
      <c r="F347" s="73"/>
      <c r="G347" s="73"/>
      <c r="H347" s="73"/>
      <c r="I347" s="73"/>
      <c r="J347" s="73"/>
      <c r="K347" s="73"/>
    </row>
    <row r="348" spans="1:14">
      <c r="A348" s="94"/>
      <c r="B348" s="94"/>
      <c r="C348" s="73"/>
      <c r="D348" s="73"/>
      <c r="E348" s="73"/>
      <c r="F348" s="73"/>
      <c r="G348" s="73"/>
      <c r="H348" s="73"/>
      <c r="I348" s="73"/>
      <c r="J348" s="73"/>
      <c r="K348" s="73"/>
    </row>
    <row r="349" spans="1:14">
      <c r="A349" s="94"/>
      <c r="B349" s="94"/>
      <c r="C349" s="73"/>
      <c r="D349" s="73"/>
      <c r="E349" s="73"/>
      <c r="F349" s="73"/>
      <c r="G349" s="73"/>
      <c r="H349" s="73"/>
      <c r="I349" s="73"/>
      <c r="J349" s="73"/>
      <c r="K349" s="73"/>
    </row>
    <row r="350" spans="1:14">
      <c r="A350" s="94"/>
      <c r="B350" s="94"/>
      <c r="C350" s="73"/>
      <c r="D350" s="73"/>
      <c r="E350" s="73"/>
      <c r="F350" s="73"/>
      <c r="G350" s="73"/>
      <c r="H350" s="73"/>
      <c r="I350" s="73"/>
      <c r="J350" s="73"/>
      <c r="K350" s="73"/>
    </row>
    <row r="351" spans="1:14">
      <c r="A351" s="94"/>
      <c r="B351" s="94"/>
      <c r="C351" s="73"/>
      <c r="D351" s="73"/>
      <c r="E351" s="73"/>
      <c r="F351" s="73"/>
      <c r="G351" s="73"/>
      <c r="H351" s="73"/>
      <c r="I351" s="73"/>
      <c r="J351" s="73"/>
      <c r="K351" s="73"/>
    </row>
    <row r="352" spans="1:14">
      <c r="A352" s="94"/>
      <c r="B352" s="94"/>
      <c r="C352" s="73"/>
      <c r="D352" s="73"/>
      <c r="E352" s="73"/>
      <c r="F352" s="73"/>
      <c r="G352" s="73"/>
      <c r="H352" s="73"/>
      <c r="I352" s="73"/>
      <c r="J352" s="73"/>
      <c r="K352" s="73"/>
    </row>
    <row r="353" spans="1:11">
      <c r="A353" s="94"/>
      <c r="B353" s="94"/>
      <c r="C353" s="73"/>
      <c r="D353" s="73"/>
      <c r="E353" s="73"/>
      <c r="F353" s="73"/>
      <c r="G353" s="73"/>
      <c r="H353" s="73"/>
      <c r="I353" s="73"/>
      <c r="J353" s="73"/>
      <c r="K353" s="73"/>
    </row>
    <row r="354" spans="1:11">
      <c r="A354" s="94"/>
      <c r="B354" s="94"/>
      <c r="C354" s="73"/>
      <c r="D354" s="73"/>
      <c r="E354" s="73"/>
      <c r="F354" s="73"/>
      <c r="G354" s="73"/>
      <c r="H354" s="73"/>
      <c r="I354" s="73"/>
      <c r="J354" s="73"/>
      <c r="K354" s="73"/>
    </row>
    <row r="355" spans="1:11">
      <c r="A355" s="94"/>
      <c r="B355" s="94"/>
      <c r="C355" s="73"/>
      <c r="D355" s="73"/>
      <c r="E355" s="73"/>
      <c r="F355" s="73"/>
      <c r="G355" s="73"/>
      <c r="H355" s="73"/>
      <c r="I355" s="73"/>
      <c r="J355" s="73"/>
      <c r="K355" s="73"/>
    </row>
    <row r="356" spans="1:11">
      <c r="A356" s="94"/>
      <c r="B356" s="94"/>
      <c r="C356" s="73"/>
      <c r="D356" s="73"/>
      <c r="E356" s="73"/>
      <c r="F356" s="73"/>
      <c r="G356" s="73"/>
      <c r="H356" s="73"/>
      <c r="I356" s="73"/>
      <c r="J356" s="73"/>
      <c r="K356" s="73"/>
    </row>
    <row r="357" spans="1:11">
      <c r="A357" s="94"/>
      <c r="B357" s="94"/>
      <c r="C357" s="73"/>
      <c r="D357" s="73"/>
      <c r="E357" s="73"/>
      <c r="F357" s="73"/>
      <c r="G357" s="73"/>
      <c r="H357" s="73"/>
      <c r="I357" s="73"/>
      <c r="J357" s="73"/>
      <c r="K357" s="73"/>
    </row>
    <row r="358" spans="1:11">
      <c r="A358" s="94"/>
      <c r="B358" s="94"/>
      <c r="C358" s="73"/>
      <c r="D358" s="73"/>
      <c r="E358" s="73"/>
      <c r="F358" s="73"/>
      <c r="G358" s="73"/>
      <c r="H358" s="73"/>
      <c r="I358" s="73"/>
      <c r="J358" s="73"/>
      <c r="K358" s="73"/>
    </row>
    <row r="359" spans="1:11">
      <c r="A359" s="94"/>
      <c r="B359" s="94"/>
      <c r="C359" s="73"/>
      <c r="D359" s="73"/>
      <c r="E359" s="73"/>
      <c r="F359" s="73"/>
      <c r="G359" s="73"/>
      <c r="H359" s="73"/>
      <c r="I359" s="73"/>
      <c r="J359" s="73"/>
      <c r="K359" s="73"/>
    </row>
    <row r="360" spans="1:11">
      <c r="A360" s="94"/>
      <c r="B360" s="94"/>
      <c r="C360" s="73"/>
      <c r="D360" s="73"/>
      <c r="E360" s="73"/>
      <c r="F360" s="73"/>
      <c r="G360" s="73"/>
      <c r="H360" s="73"/>
      <c r="I360" s="73"/>
      <c r="J360" s="73"/>
      <c r="K360" s="73"/>
    </row>
    <row r="361" spans="1:11">
      <c r="A361" s="94"/>
      <c r="B361" s="94"/>
      <c r="C361" s="73"/>
      <c r="D361" s="73"/>
      <c r="E361" s="73"/>
      <c r="F361" s="73"/>
      <c r="G361" s="73"/>
      <c r="H361" s="73"/>
      <c r="I361" s="73"/>
      <c r="J361" s="73"/>
      <c r="K361" s="73"/>
    </row>
    <row r="362" spans="1:11">
      <c r="A362" s="94"/>
      <c r="B362" s="94"/>
      <c r="C362" s="73"/>
      <c r="D362" s="73"/>
      <c r="E362" s="73"/>
      <c r="F362" s="73"/>
      <c r="G362" s="73"/>
      <c r="H362" s="73"/>
      <c r="I362" s="73"/>
      <c r="J362" s="73"/>
      <c r="K362" s="73"/>
    </row>
    <row r="363" spans="1:11">
      <c r="A363" s="94"/>
      <c r="B363" s="94"/>
      <c r="C363" s="73"/>
      <c r="D363" s="73"/>
      <c r="E363" s="73"/>
      <c r="F363" s="73"/>
      <c r="G363" s="73"/>
      <c r="H363" s="73"/>
      <c r="I363" s="73"/>
      <c r="J363" s="73"/>
      <c r="K363" s="73"/>
    </row>
    <row r="364" spans="1:11">
      <c r="A364" s="94"/>
      <c r="B364" s="94"/>
      <c r="C364" s="73"/>
      <c r="D364" s="73"/>
      <c r="E364" s="73"/>
      <c r="F364" s="73"/>
      <c r="G364" s="73"/>
      <c r="H364" s="73"/>
      <c r="I364" s="73"/>
      <c r="J364" s="73"/>
      <c r="K364" s="73"/>
    </row>
    <row r="365" spans="1:11">
      <c r="A365" s="94"/>
      <c r="B365" s="94"/>
      <c r="C365" s="73"/>
      <c r="D365" s="73"/>
      <c r="E365" s="73"/>
      <c r="F365" s="73"/>
      <c r="G365" s="73"/>
      <c r="H365" s="73"/>
      <c r="I365" s="73"/>
      <c r="J365" s="73"/>
      <c r="K365" s="73"/>
    </row>
    <row r="366" spans="1:11">
      <c r="A366" s="94"/>
      <c r="B366" s="94"/>
      <c r="C366" s="73"/>
      <c r="D366" s="73"/>
      <c r="E366" s="73"/>
      <c r="F366" s="73"/>
      <c r="G366" s="73"/>
      <c r="H366" s="73"/>
      <c r="I366" s="73"/>
      <c r="J366" s="73"/>
      <c r="K366" s="73"/>
    </row>
    <row r="367" spans="1:11">
      <c r="A367" s="94"/>
      <c r="B367" s="94"/>
      <c r="C367" s="73"/>
      <c r="D367" s="73"/>
      <c r="E367" s="73"/>
      <c r="F367" s="73"/>
      <c r="G367" s="73"/>
      <c r="H367" s="73"/>
      <c r="I367" s="73"/>
      <c r="J367" s="73"/>
      <c r="K367" s="73"/>
    </row>
    <row r="368" spans="1:11">
      <c r="A368" s="94"/>
      <c r="B368" s="94"/>
      <c r="C368" s="73"/>
      <c r="D368" s="73"/>
      <c r="E368" s="73"/>
      <c r="F368" s="73"/>
      <c r="G368" s="73"/>
      <c r="H368" s="73"/>
      <c r="I368" s="73"/>
      <c r="J368" s="73"/>
      <c r="K368" s="73"/>
    </row>
    <row r="369" spans="1:11">
      <c r="A369" s="94"/>
      <c r="B369" s="94"/>
      <c r="C369" s="73"/>
      <c r="D369" s="73"/>
      <c r="E369" s="73"/>
      <c r="F369" s="73"/>
      <c r="G369" s="73"/>
      <c r="H369" s="73"/>
      <c r="I369" s="73"/>
      <c r="J369" s="73"/>
      <c r="K369" s="73"/>
    </row>
    <row r="370" spans="1:11">
      <c r="A370" s="94"/>
      <c r="B370" s="94"/>
      <c r="C370" s="73"/>
      <c r="D370" s="73"/>
      <c r="E370" s="73"/>
      <c r="F370" s="73"/>
      <c r="G370" s="73"/>
      <c r="H370" s="73"/>
      <c r="I370" s="73"/>
      <c r="J370" s="73"/>
      <c r="K370" s="73"/>
    </row>
    <row r="371" spans="1:11">
      <c r="A371" s="94"/>
      <c r="B371" s="94"/>
      <c r="C371" s="73"/>
      <c r="D371" s="73"/>
      <c r="E371" s="73"/>
      <c r="F371" s="73"/>
      <c r="G371" s="73"/>
      <c r="H371" s="73"/>
      <c r="I371" s="73"/>
      <c r="J371" s="73"/>
      <c r="K371" s="73"/>
    </row>
    <row r="372" spans="1:11">
      <c r="A372" s="94"/>
      <c r="B372" s="94"/>
      <c r="C372" s="73"/>
      <c r="D372" s="73"/>
      <c r="E372" s="73"/>
      <c r="F372" s="73"/>
      <c r="G372" s="73"/>
      <c r="H372" s="73"/>
      <c r="I372" s="73"/>
      <c r="J372" s="73"/>
      <c r="K372" s="73"/>
    </row>
    <row r="373" spans="1:11">
      <c r="A373" s="94"/>
      <c r="B373" s="94"/>
      <c r="C373" s="73"/>
      <c r="D373" s="73"/>
      <c r="E373" s="73"/>
      <c r="F373" s="73"/>
      <c r="G373" s="73"/>
      <c r="H373" s="73"/>
      <c r="I373" s="73"/>
      <c r="J373" s="73"/>
      <c r="K373" s="73"/>
    </row>
    <row r="374" spans="1:11">
      <c r="A374" s="94"/>
      <c r="B374" s="94"/>
      <c r="C374" s="73"/>
      <c r="D374" s="73"/>
      <c r="E374" s="73"/>
      <c r="F374" s="73"/>
      <c r="G374" s="73"/>
      <c r="H374" s="73"/>
      <c r="I374" s="73"/>
      <c r="J374" s="73"/>
      <c r="K374" s="73"/>
    </row>
    <row r="375" spans="1:11">
      <c r="A375" s="94"/>
      <c r="B375" s="94"/>
      <c r="C375" s="73"/>
      <c r="D375" s="73"/>
      <c r="E375" s="73"/>
      <c r="F375" s="73"/>
      <c r="G375" s="73"/>
      <c r="H375" s="73"/>
      <c r="I375" s="73"/>
      <c r="J375" s="73"/>
      <c r="K375" s="73"/>
    </row>
    <row r="376" spans="1:11">
      <c r="A376" s="94"/>
      <c r="B376" s="94"/>
      <c r="C376" s="73"/>
      <c r="D376" s="73"/>
      <c r="E376" s="73"/>
      <c r="F376" s="73"/>
      <c r="G376" s="73"/>
      <c r="H376" s="73"/>
      <c r="I376" s="73"/>
      <c r="J376" s="73"/>
      <c r="K376" s="73"/>
    </row>
    <row r="377" spans="1:11">
      <c r="A377" s="94"/>
      <c r="B377" s="94"/>
      <c r="C377" s="73"/>
      <c r="D377" s="73"/>
      <c r="E377" s="73"/>
      <c r="F377" s="73"/>
      <c r="G377" s="73"/>
      <c r="H377" s="73"/>
      <c r="I377" s="73"/>
      <c r="J377" s="73"/>
      <c r="K377" s="73"/>
    </row>
    <row r="378" spans="1:11">
      <c r="A378" s="94"/>
      <c r="B378" s="94"/>
      <c r="C378" s="73"/>
      <c r="D378" s="73"/>
      <c r="E378" s="73"/>
      <c r="F378" s="73"/>
      <c r="G378" s="73"/>
      <c r="H378" s="73"/>
      <c r="I378" s="73"/>
      <c r="J378" s="73"/>
      <c r="K378" s="73"/>
    </row>
    <row r="379" spans="1:11">
      <c r="A379" s="94"/>
      <c r="B379" s="94"/>
      <c r="C379" s="73"/>
      <c r="D379" s="73"/>
      <c r="E379" s="73"/>
      <c r="F379" s="73"/>
      <c r="G379" s="73"/>
      <c r="H379" s="73"/>
      <c r="I379" s="73"/>
      <c r="J379" s="73"/>
      <c r="K379" s="73"/>
    </row>
    <row r="380" spans="1:11">
      <c r="A380" s="94"/>
      <c r="B380" s="94"/>
      <c r="C380" s="73"/>
      <c r="D380" s="73"/>
      <c r="E380" s="73"/>
      <c r="F380" s="73"/>
      <c r="G380" s="73"/>
      <c r="H380" s="73"/>
      <c r="I380" s="73"/>
      <c r="J380" s="73"/>
      <c r="K380" s="73"/>
    </row>
    <row r="381" spans="1:11">
      <c r="A381" s="94"/>
      <c r="B381" s="94"/>
      <c r="C381" s="73"/>
      <c r="D381" s="73"/>
      <c r="E381" s="73"/>
      <c r="F381" s="73"/>
      <c r="G381" s="73"/>
      <c r="H381" s="73"/>
      <c r="I381" s="73"/>
      <c r="J381" s="73"/>
      <c r="K381" s="73"/>
    </row>
    <row r="382" spans="1:11">
      <c r="A382" s="94"/>
      <c r="B382" s="94"/>
      <c r="C382" s="73"/>
      <c r="D382" s="73"/>
      <c r="E382" s="73"/>
      <c r="F382" s="73"/>
      <c r="G382" s="73"/>
      <c r="H382" s="73"/>
      <c r="I382" s="73"/>
      <c r="J382" s="73"/>
      <c r="K382" s="73"/>
    </row>
    <row r="383" spans="1:11">
      <c r="A383" s="94"/>
      <c r="B383" s="94"/>
      <c r="C383" s="73"/>
      <c r="D383" s="73"/>
      <c r="E383" s="73"/>
      <c r="F383" s="73"/>
      <c r="G383" s="73"/>
      <c r="H383" s="73"/>
      <c r="I383" s="73"/>
      <c r="J383" s="73"/>
      <c r="K383" s="73"/>
    </row>
    <row r="384" spans="1:11">
      <c r="A384" s="94"/>
      <c r="B384" s="94"/>
      <c r="C384" s="73"/>
      <c r="D384" s="73"/>
      <c r="E384" s="73"/>
      <c r="F384" s="73"/>
      <c r="G384" s="73"/>
      <c r="H384" s="73"/>
      <c r="I384" s="73"/>
      <c r="J384" s="73"/>
      <c r="K384" s="73"/>
    </row>
    <row r="385" spans="1:11">
      <c r="A385" s="94"/>
      <c r="B385" s="94"/>
      <c r="C385" s="73"/>
      <c r="D385" s="73"/>
      <c r="E385" s="73"/>
      <c r="F385" s="73"/>
      <c r="G385" s="73"/>
      <c r="H385" s="73"/>
      <c r="I385" s="73"/>
      <c r="J385" s="73"/>
      <c r="K385" s="73"/>
    </row>
    <row r="386" spans="1:11">
      <c r="A386" s="94"/>
      <c r="B386" s="94"/>
      <c r="C386" s="73"/>
      <c r="D386" s="73"/>
      <c r="E386" s="73"/>
      <c r="F386" s="73"/>
      <c r="G386" s="73"/>
      <c r="H386" s="73"/>
      <c r="I386" s="73"/>
      <c r="J386" s="73"/>
      <c r="K386" s="73"/>
    </row>
    <row r="387" spans="1:11">
      <c r="A387" s="94"/>
      <c r="B387" s="94"/>
      <c r="C387" s="73"/>
      <c r="D387" s="73"/>
      <c r="E387" s="73"/>
      <c r="F387" s="73"/>
      <c r="G387" s="73"/>
      <c r="H387" s="73"/>
      <c r="I387" s="73"/>
      <c r="J387" s="73"/>
      <c r="K387" s="73"/>
    </row>
    <row r="388" spans="1:11">
      <c r="A388" s="94"/>
      <c r="B388" s="94"/>
      <c r="C388" s="73"/>
      <c r="D388" s="73"/>
      <c r="E388" s="73"/>
      <c r="F388" s="73"/>
      <c r="G388" s="73"/>
      <c r="H388" s="73"/>
      <c r="I388" s="73"/>
      <c r="J388" s="73"/>
      <c r="K388" s="73"/>
    </row>
    <row r="389" spans="1:11">
      <c r="A389" s="94"/>
      <c r="B389" s="94"/>
      <c r="C389" s="73"/>
      <c r="D389" s="73"/>
      <c r="E389" s="73"/>
      <c r="F389" s="73"/>
      <c r="G389" s="73"/>
      <c r="H389" s="73"/>
      <c r="I389" s="73"/>
      <c r="J389" s="73"/>
      <c r="K389" s="73"/>
    </row>
    <row r="390" spans="1:11">
      <c r="A390" s="94"/>
      <c r="B390" s="94"/>
      <c r="C390" s="73"/>
      <c r="D390" s="73"/>
      <c r="E390" s="73"/>
      <c r="F390" s="73"/>
      <c r="G390" s="73"/>
      <c r="H390" s="73"/>
      <c r="I390" s="73"/>
      <c r="J390" s="73"/>
      <c r="K390" s="73"/>
    </row>
    <row r="391" spans="1:11">
      <c r="A391" s="94"/>
      <c r="B391" s="94"/>
      <c r="C391" s="73"/>
      <c r="D391" s="73"/>
      <c r="E391" s="73"/>
      <c r="F391" s="73"/>
      <c r="G391" s="73"/>
      <c r="H391" s="73"/>
      <c r="I391" s="73"/>
      <c r="J391" s="73"/>
      <c r="K391" s="73"/>
    </row>
    <row r="392" spans="1:11">
      <c r="A392" s="94"/>
      <c r="B392" s="94"/>
      <c r="C392" s="73"/>
      <c r="D392" s="73"/>
      <c r="E392" s="73"/>
      <c r="F392" s="73"/>
      <c r="G392" s="73"/>
      <c r="H392" s="73"/>
      <c r="I392" s="73"/>
      <c r="J392" s="73"/>
      <c r="K392" s="73"/>
    </row>
    <row r="393" spans="1:11">
      <c r="A393" s="94"/>
      <c r="B393" s="94"/>
      <c r="C393" s="73"/>
      <c r="D393" s="73"/>
      <c r="E393" s="73"/>
      <c r="F393" s="73"/>
      <c r="G393" s="73"/>
      <c r="H393" s="73"/>
      <c r="I393" s="73"/>
      <c r="J393" s="73"/>
      <c r="K393" s="73"/>
    </row>
    <row r="394" spans="1:11">
      <c r="A394" s="94"/>
      <c r="B394" s="94"/>
      <c r="C394" s="73"/>
      <c r="D394" s="73"/>
      <c r="E394" s="73"/>
      <c r="F394" s="73"/>
      <c r="G394" s="73"/>
      <c r="H394" s="73"/>
      <c r="I394" s="73"/>
      <c r="J394" s="73"/>
      <c r="K394" s="73"/>
    </row>
    <row r="395" spans="1:11">
      <c r="A395" s="94"/>
      <c r="B395" s="94"/>
      <c r="C395" s="73"/>
      <c r="D395" s="73"/>
      <c r="E395" s="73"/>
      <c r="F395" s="73"/>
      <c r="G395" s="73"/>
      <c r="H395" s="73"/>
      <c r="I395" s="73"/>
      <c r="J395" s="73"/>
      <c r="K395" s="73"/>
    </row>
    <row r="396" spans="1:11">
      <c r="A396" s="94"/>
      <c r="B396" s="94"/>
      <c r="C396" s="73"/>
      <c r="D396" s="73"/>
      <c r="E396" s="73"/>
      <c r="F396" s="73"/>
      <c r="G396" s="73"/>
      <c r="H396" s="73"/>
      <c r="I396" s="73"/>
      <c r="J396" s="73"/>
      <c r="K396" s="73"/>
    </row>
    <row r="397" spans="1:11">
      <c r="A397" s="94"/>
      <c r="B397" s="94"/>
      <c r="C397" s="73"/>
      <c r="D397" s="73"/>
      <c r="E397" s="73"/>
      <c r="F397" s="73"/>
      <c r="G397" s="73"/>
      <c r="H397" s="73"/>
      <c r="I397" s="73"/>
      <c r="J397" s="73"/>
      <c r="K397" s="73"/>
    </row>
    <row r="398" spans="1:11">
      <c r="A398" s="94"/>
      <c r="B398" s="94"/>
      <c r="C398" s="73"/>
      <c r="D398" s="73"/>
      <c r="E398" s="73"/>
      <c r="F398" s="73"/>
      <c r="G398" s="73"/>
      <c r="H398" s="73"/>
      <c r="I398" s="73"/>
      <c r="J398" s="73"/>
      <c r="K398" s="73"/>
    </row>
    <row r="399" spans="1:11">
      <c r="A399" s="94"/>
      <c r="B399" s="94"/>
      <c r="C399" s="73"/>
      <c r="D399" s="73"/>
      <c r="E399" s="73"/>
      <c r="F399" s="73"/>
      <c r="G399" s="73"/>
      <c r="H399" s="73"/>
      <c r="I399" s="73"/>
      <c r="J399" s="73"/>
      <c r="K399" s="73"/>
    </row>
    <row r="400" spans="1:11">
      <c r="A400" s="94"/>
      <c r="B400" s="94"/>
      <c r="C400" s="73"/>
      <c r="D400" s="73"/>
      <c r="E400" s="73"/>
      <c r="F400" s="73"/>
      <c r="G400" s="73"/>
      <c r="H400" s="73"/>
      <c r="I400" s="73"/>
      <c r="J400" s="73"/>
      <c r="K400" s="73"/>
    </row>
    <row r="401" spans="1:11">
      <c r="A401" s="94"/>
      <c r="B401" s="94"/>
      <c r="C401" s="73"/>
      <c r="D401" s="73"/>
      <c r="E401" s="73"/>
      <c r="F401" s="73"/>
      <c r="G401" s="73"/>
      <c r="H401" s="73"/>
      <c r="I401" s="73"/>
      <c r="J401" s="73"/>
      <c r="K401" s="73"/>
    </row>
    <row r="402" spans="1:11">
      <c r="A402" s="94"/>
      <c r="B402" s="94"/>
      <c r="C402" s="73"/>
      <c r="D402" s="73"/>
      <c r="E402" s="73"/>
      <c r="F402" s="73"/>
      <c r="G402" s="73"/>
      <c r="H402" s="73"/>
      <c r="I402" s="73"/>
      <c r="J402" s="73"/>
      <c r="K402" s="73"/>
    </row>
    <row r="403" spans="1:11">
      <c r="A403" s="94"/>
      <c r="B403" s="94"/>
      <c r="C403" s="73"/>
      <c r="D403" s="73"/>
      <c r="E403" s="73"/>
      <c r="F403" s="73"/>
      <c r="G403" s="73"/>
      <c r="H403" s="73"/>
      <c r="I403" s="73"/>
      <c r="J403" s="73"/>
      <c r="K403" s="73"/>
    </row>
    <row r="404" spans="1:11">
      <c r="A404" s="94"/>
      <c r="B404" s="94"/>
      <c r="C404" s="73"/>
      <c r="D404" s="73"/>
      <c r="E404" s="73"/>
      <c r="F404" s="73"/>
      <c r="G404" s="73"/>
      <c r="H404" s="73"/>
      <c r="I404" s="73"/>
      <c r="J404" s="73"/>
      <c r="K404" s="73"/>
    </row>
    <row r="405" spans="1:11">
      <c r="A405" s="94"/>
      <c r="B405" s="94"/>
      <c r="C405" s="73"/>
      <c r="D405" s="73"/>
      <c r="E405" s="73"/>
      <c r="F405" s="73"/>
      <c r="G405" s="73"/>
      <c r="H405" s="73"/>
      <c r="I405" s="73"/>
      <c r="J405" s="73"/>
      <c r="K405" s="73"/>
    </row>
    <row r="406" spans="1:11">
      <c r="A406" s="94"/>
      <c r="B406" s="94"/>
      <c r="C406" s="73"/>
      <c r="D406" s="73"/>
      <c r="E406" s="73"/>
      <c r="F406" s="73"/>
      <c r="G406" s="73"/>
      <c r="H406" s="73"/>
      <c r="I406" s="73"/>
      <c r="J406" s="73"/>
      <c r="K406" s="73"/>
    </row>
    <row r="407" spans="1:11">
      <c r="A407" s="94"/>
      <c r="B407" s="94"/>
      <c r="C407" s="73"/>
      <c r="D407" s="73"/>
      <c r="E407" s="73"/>
      <c r="F407" s="73"/>
      <c r="G407" s="73"/>
      <c r="H407" s="73"/>
      <c r="I407" s="73"/>
      <c r="J407" s="73"/>
      <c r="K407" s="73"/>
    </row>
    <row r="408" spans="1:11">
      <c r="A408" s="94"/>
      <c r="B408" s="94"/>
      <c r="C408" s="73"/>
      <c r="D408" s="73"/>
      <c r="E408" s="73"/>
      <c r="F408" s="73"/>
      <c r="G408" s="73"/>
      <c r="H408" s="73"/>
      <c r="I408" s="73"/>
      <c r="J408" s="73"/>
      <c r="K408" s="73"/>
    </row>
    <row r="409" spans="1:11">
      <c r="A409" s="94"/>
      <c r="B409" s="94"/>
      <c r="C409" s="73"/>
      <c r="D409" s="73"/>
      <c r="E409" s="73"/>
      <c r="F409" s="73"/>
      <c r="G409" s="73"/>
      <c r="H409" s="73"/>
      <c r="I409" s="73"/>
      <c r="J409" s="73"/>
      <c r="K409" s="73"/>
    </row>
    <row r="410" spans="1:11">
      <c r="A410" s="94"/>
      <c r="B410" s="94"/>
      <c r="C410" s="73"/>
      <c r="D410" s="73"/>
      <c r="E410" s="73"/>
      <c r="F410" s="73"/>
      <c r="G410" s="73"/>
      <c r="H410" s="73"/>
      <c r="I410" s="73"/>
      <c r="J410" s="73"/>
      <c r="K410" s="73"/>
    </row>
    <row r="411" spans="1:11">
      <c r="A411" s="94"/>
      <c r="B411" s="94"/>
      <c r="C411" s="73"/>
      <c r="D411" s="73"/>
      <c r="E411" s="73"/>
      <c r="F411" s="73"/>
      <c r="G411" s="73"/>
      <c r="H411" s="73"/>
      <c r="I411" s="73"/>
      <c r="J411" s="73"/>
      <c r="K411" s="73"/>
    </row>
    <row r="412" spans="1:11">
      <c r="A412" s="94"/>
      <c r="B412" s="94"/>
      <c r="C412" s="73"/>
      <c r="D412" s="73"/>
      <c r="E412" s="73"/>
      <c r="F412" s="73"/>
      <c r="G412" s="73"/>
      <c r="H412" s="73"/>
      <c r="I412" s="73"/>
      <c r="J412" s="73"/>
      <c r="K412" s="73"/>
    </row>
    <row r="413" spans="1:11">
      <c r="A413" s="94"/>
      <c r="B413" s="94"/>
      <c r="C413" s="73"/>
      <c r="D413" s="73"/>
      <c r="E413" s="73"/>
      <c r="F413" s="73"/>
      <c r="G413" s="73"/>
      <c r="H413" s="73"/>
      <c r="I413" s="73"/>
      <c r="J413" s="73"/>
      <c r="K413" s="73"/>
    </row>
    <row r="414" spans="1:11">
      <c r="A414" s="94"/>
      <c r="B414" s="94"/>
      <c r="C414" s="73"/>
      <c r="D414" s="73"/>
      <c r="E414" s="73"/>
      <c r="F414" s="73"/>
      <c r="G414" s="73"/>
      <c r="H414" s="73"/>
      <c r="I414" s="73"/>
      <c r="J414" s="73"/>
      <c r="K414" s="73"/>
    </row>
    <row r="415" spans="1:11">
      <c r="A415" s="94"/>
      <c r="B415" s="94"/>
      <c r="C415" s="73"/>
      <c r="D415" s="73"/>
      <c r="E415" s="73"/>
      <c r="F415" s="73"/>
      <c r="G415" s="73"/>
      <c r="H415" s="73"/>
      <c r="I415" s="73"/>
      <c r="J415" s="73"/>
      <c r="K415" s="73"/>
    </row>
    <row r="416" spans="1:11">
      <c r="A416" s="94"/>
      <c r="B416" s="94"/>
      <c r="C416" s="73"/>
      <c r="D416" s="73"/>
      <c r="E416" s="73"/>
      <c r="F416" s="73"/>
      <c r="G416" s="73"/>
      <c r="H416" s="73"/>
      <c r="I416" s="73"/>
      <c r="J416" s="73"/>
      <c r="K416" s="73"/>
    </row>
    <row r="417" spans="1:11">
      <c r="A417" s="94"/>
      <c r="B417" s="94"/>
      <c r="C417" s="73"/>
      <c r="D417" s="73"/>
      <c r="E417" s="73"/>
      <c r="F417" s="73"/>
      <c r="G417" s="73"/>
      <c r="H417" s="73"/>
      <c r="I417" s="73"/>
      <c r="J417" s="73"/>
      <c r="K417" s="73"/>
    </row>
    <row r="418" spans="1:11">
      <c r="A418" s="94"/>
      <c r="B418" s="94"/>
      <c r="C418" s="73"/>
      <c r="D418" s="73"/>
      <c r="E418" s="73"/>
      <c r="F418" s="73"/>
      <c r="G418" s="73"/>
      <c r="H418" s="73"/>
      <c r="I418" s="73"/>
      <c r="J418" s="73"/>
      <c r="K418" s="73"/>
    </row>
    <row r="419" spans="1:11">
      <c r="A419" s="94"/>
      <c r="B419" s="94"/>
      <c r="C419" s="73"/>
      <c r="D419" s="73"/>
      <c r="E419" s="73"/>
      <c r="F419" s="73"/>
      <c r="G419" s="73"/>
      <c r="H419" s="73"/>
      <c r="I419" s="73"/>
      <c r="J419" s="73"/>
      <c r="K419" s="73"/>
    </row>
    <row r="420" spans="1:11">
      <c r="A420" s="94"/>
      <c r="B420" s="94"/>
      <c r="C420" s="73"/>
      <c r="D420" s="73"/>
      <c r="E420" s="73"/>
      <c r="F420" s="73"/>
      <c r="G420" s="73"/>
      <c r="H420" s="73"/>
      <c r="I420" s="73"/>
      <c r="J420" s="73"/>
      <c r="K420" s="73"/>
    </row>
    <row r="421" spans="1:11">
      <c r="A421" s="94"/>
      <c r="B421" s="94"/>
      <c r="C421" s="73"/>
      <c r="D421" s="73"/>
      <c r="E421" s="73"/>
      <c r="F421" s="73"/>
      <c r="G421" s="73"/>
      <c r="H421" s="73"/>
      <c r="I421" s="73"/>
      <c r="J421" s="73"/>
      <c r="K421" s="73"/>
    </row>
    <row r="422" spans="1:11">
      <c r="A422" s="94"/>
      <c r="B422" s="94"/>
      <c r="C422" s="73"/>
      <c r="D422" s="73"/>
      <c r="E422" s="73"/>
      <c r="F422" s="73"/>
      <c r="G422" s="73"/>
      <c r="H422" s="73"/>
      <c r="I422" s="73"/>
      <c r="J422" s="73"/>
      <c r="K422" s="73"/>
    </row>
    <row r="423" spans="1:11">
      <c r="A423" s="94"/>
      <c r="B423" s="94"/>
      <c r="C423" s="73"/>
      <c r="D423" s="73"/>
      <c r="E423" s="73"/>
      <c r="F423" s="73"/>
      <c r="G423" s="73"/>
      <c r="H423" s="73"/>
      <c r="I423" s="73"/>
      <c r="J423" s="73"/>
      <c r="K423" s="73"/>
    </row>
    <row r="424" spans="1:11">
      <c r="A424" s="94"/>
      <c r="B424" s="94"/>
      <c r="C424" s="73"/>
      <c r="D424" s="73"/>
      <c r="E424" s="73"/>
      <c r="F424" s="73"/>
      <c r="G424" s="73"/>
      <c r="H424" s="73"/>
      <c r="I424" s="73"/>
      <c r="J424" s="73"/>
      <c r="K424" s="73"/>
    </row>
    <row r="425" spans="1:11">
      <c r="A425" s="94"/>
      <c r="B425" s="94"/>
      <c r="C425" s="73"/>
      <c r="D425" s="73"/>
      <c r="E425" s="73"/>
      <c r="F425" s="73"/>
      <c r="G425" s="73"/>
      <c r="H425" s="73"/>
      <c r="I425" s="73"/>
      <c r="J425" s="73"/>
      <c r="K425" s="73"/>
    </row>
    <row r="426" spans="1:11">
      <c r="A426" s="94"/>
      <c r="B426" s="94"/>
      <c r="C426" s="73"/>
      <c r="D426" s="73"/>
      <c r="E426" s="73"/>
      <c r="F426" s="73"/>
      <c r="G426" s="73"/>
      <c r="H426" s="73"/>
      <c r="I426" s="73"/>
      <c r="J426" s="73"/>
      <c r="K426" s="73"/>
    </row>
    <row r="427" spans="1:11">
      <c r="A427" s="94"/>
      <c r="B427" s="94"/>
      <c r="C427" s="73"/>
      <c r="D427" s="73"/>
      <c r="E427" s="73"/>
      <c r="F427" s="73"/>
      <c r="G427" s="73"/>
      <c r="H427" s="73"/>
      <c r="I427" s="73"/>
      <c r="J427" s="73"/>
      <c r="K427" s="73"/>
    </row>
    <row r="428" spans="1:11">
      <c r="A428" s="94"/>
      <c r="B428" s="94"/>
      <c r="C428" s="73"/>
      <c r="D428" s="73"/>
      <c r="E428" s="73"/>
      <c r="F428" s="73"/>
      <c r="G428" s="73"/>
      <c r="H428" s="73"/>
      <c r="I428" s="73"/>
      <c r="J428" s="73"/>
      <c r="K428" s="73"/>
    </row>
    <row r="429" spans="1:11">
      <c r="A429" s="94"/>
      <c r="B429" s="94"/>
      <c r="C429" s="73"/>
      <c r="D429" s="73"/>
      <c r="E429" s="73"/>
      <c r="F429" s="73"/>
      <c r="G429" s="73"/>
      <c r="H429" s="73"/>
      <c r="I429" s="73"/>
      <c r="J429" s="73"/>
      <c r="K429" s="73"/>
    </row>
    <row r="430" spans="1:11">
      <c r="A430" s="94"/>
      <c r="B430" s="94"/>
      <c r="C430" s="73"/>
      <c r="D430" s="73"/>
      <c r="E430" s="73"/>
      <c r="F430" s="73"/>
      <c r="G430" s="73"/>
      <c r="H430" s="73"/>
      <c r="I430" s="73"/>
      <c r="J430" s="73"/>
      <c r="K430" s="73"/>
    </row>
    <row r="431" spans="1:11">
      <c r="A431" s="94"/>
      <c r="B431" s="94"/>
      <c r="C431" s="73"/>
      <c r="D431" s="73"/>
      <c r="E431" s="73"/>
      <c r="F431" s="73"/>
      <c r="G431" s="73"/>
      <c r="H431" s="73"/>
      <c r="I431" s="73"/>
      <c r="J431" s="73"/>
      <c r="K431" s="73"/>
    </row>
    <row r="432" spans="1:11">
      <c r="A432" s="94"/>
      <c r="B432" s="94"/>
      <c r="C432" s="73"/>
      <c r="D432" s="73"/>
      <c r="E432" s="73"/>
      <c r="F432" s="73"/>
      <c r="G432" s="73"/>
      <c r="H432" s="73"/>
      <c r="I432" s="73"/>
      <c r="J432" s="73"/>
      <c r="K432" s="73"/>
    </row>
    <row r="433" spans="1:11">
      <c r="A433" s="94"/>
      <c r="B433" s="94"/>
      <c r="C433" s="73"/>
      <c r="D433" s="73"/>
      <c r="E433" s="73"/>
      <c r="F433" s="73"/>
      <c r="G433" s="73"/>
      <c r="H433" s="73"/>
      <c r="I433" s="73"/>
      <c r="J433" s="73"/>
      <c r="K433" s="73"/>
    </row>
    <row r="434" spans="1:11">
      <c r="A434" s="94"/>
      <c r="B434" s="94"/>
      <c r="C434" s="73"/>
      <c r="D434" s="73"/>
      <c r="E434" s="73"/>
      <c r="F434" s="73"/>
      <c r="G434" s="73"/>
      <c r="H434" s="73"/>
      <c r="I434" s="73"/>
      <c r="J434" s="73"/>
      <c r="K434" s="73"/>
    </row>
    <row r="435" spans="1:11">
      <c r="A435" s="94"/>
      <c r="B435" s="94"/>
      <c r="C435" s="73"/>
      <c r="D435" s="73"/>
      <c r="E435" s="73"/>
      <c r="F435" s="73"/>
      <c r="G435" s="73"/>
      <c r="H435" s="73"/>
      <c r="I435" s="73"/>
      <c r="J435" s="73"/>
      <c r="K435" s="73"/>
    </row>
    <row r="436" spans="1:11">
      <c r="A436" s="94"/>
      <c r="B436" s="94"/>
      <c r="C436" s="73"/>
      <c r="D436" s="73"/>
      <c r="E436" s="73"/>
      <c r="F436" s="73"/>
      <c r="G436" s="73"/>
      <c r="H436" s="73"/>
      <c r="I436" s="73"/>
      <c r="J436" s="73"/>
      <c r="K436" s="73"/>
    </row>
    <row r="437" spans="1:11">
      <c r="A437" s="94"/>
      <c r="B437" s="94"/>
      <c r="C437" s="73"/>
      <c r="D437" s="73"/>
      <c r="E437" s="73"/>
      <c r="F437" s="73"/>
      <c r="G437" s="73"/>
      <c r="H437" s="73"/>
      <c r="I437" s="73"/>
      <c r="J437" s="73"/>
      <c r="K437" s="73"/>
    </row>
    <row r="438" spans="1:11">
      <c r="A438" s="94"/>
      <c r="B438" s="94"/>
      <c r="C438" s="73"/>
      <c r="D438" s="73"/>
      <c r="E438" s="73"/>
      <c r="F438" s="73"/>
      <c r="G438" s="73"/>
      <c r="H438" s="73"/>
      <c r="I438" s="73"/>
      <c r="J438" s="73"/>
      <c r="K438" s="73"/>
    </row>
    <row r="439" spans="1:11">
      <c r="A439" s="94"/>
      <c r="B439" s="94"/>
      <c r="C439" s="73"/>
      <c r="D439" s="73"/>
      <c r="E439" s="73"/>
      <c r="F439" s="73"/>
      <c r="G439" s="73"/>
      <c r="H439" s="73"/>
      <c r="I439" s="73"/>
      <c r="J439" s="73"/>
      <c r="K439" s="73"/>
    </row>
    <row r="440" spans="1:11">
      <c r="A440" s="94"/>
      <c r="B440" s="94"/>
      <c r="C440" s="73"/>
      <c r="D440" s="73"/>
      <c r="E440" s="73"/>
      <c r="F440" s="73"/>
      <c r="G440" s="73"/>
      <c r="H440" s="73"/>
      <c r="I440" s="73"/>
      <c r="J440" s="73"/>
      <c r="K440" s="73"/>
    </row>
    <row r="441" spans="1:11">
      <c r="A441" s="94"/>
      <c r="B441" s="94"/>
      <c r="C441" s="73"/>
      <c r="D441" s="73"/>
      <c r="E441" s="73"/>
      <c r="F441" s="73"/>
      <c r="G441" s="73"/>
      <c r="H441" s="73"/>
      <c r="I441" s="73"/>
      <c r="J441" s="73"/>
      <c r="K441" s="73"/>
    </row>
    <row r="442" spans="1:11">
      <c r="A442" s="94"/>
      <c r="B442" s="94"/>
      <c r="C442" s="73"/>
      <c r="D442" s="73"/>
      <c r="E442" s="73"/>
      <c r="F442" s="73"/>
      <c r="G442" s="73"/>
      <c r="H442" s="73"/>
      <c r="I442" s="73"/>
      <c r="J442" s="73"/>
      <c r="K442" s="73"/>
    </row>
    <row r="443" spans="1:11">
      <c r="A443" s="94"/>
      <c r="B443" s="94"/>
      <c r="C443" s="73"/>
      <c r="D443" s="73"/>
      <c r="E443" s="73"/>
      <c r="F443" s="73"/>
      <c r="G443" s="73"/>
      <c r="H443" s="73"/>
      <c r="I443" s="73"/>
      <c r="J443" s="73"/>
      <c r="K443" s="73"/>
    </row>
    <row r="444" spans="1:11">
      <c r="A444" s="94"/>
      <c r="B444" s="94"/>
      <c r="C444" s="73"/>
      <c r="D444" s="73"/>
      <c r="E444" s="73"/>
      <c r="F444" s="73"/>
      <c r="G444" s="73"/>
      <c r="H444" s="73"/>
      <c r="I444" s="73"/>
      <c r="J444" s="73"/>
      <c r="K444" s="73"/>
    </row>
    <row r="445" spans="1:11">
      <c r="A445" s="94"/>
      <c r="B445" s="94"/>
      <c r="C445" s="73"/>
      <c r="D445" s="73"/>
      <c r="E445" s="73"/>
      <c r="F445" s="73"/>
      <c r="G445" s="73"/>
      <c r="H445" s="73"/>
      <c r="I445" s="73"/>
      <c r="J445" s="73"/>
      <c r="K445" s="73"/>
    </row>
    <row r="446" spans="1:11">
      <c r="A446" s="94"/>
      <c r="B446" s="94"/>
      <c r="C446" s="73"/>
      <c r="D446" s="73"/>
      <c r="E446" s="73"/>
      <c r="F446" s="73"/>
      <c r="G446" s="73"/>
      <c r="H446" s="73"/>
      <c r="I446" s="73"/>
      <c r="J446" s="73"/>
      <c r="K446" s="73"/>
    </row>
    <row r="447" spans="1:11">
      <c r="A447" s="94"/>
      <c r="B447" s="94"/>
      <c r="C447" s="73"/>
      <c r="D447" s="73"/>
      <c r="E447" s="73"/>
      <c r="F447" s="73"/>
      <c r="G447" s="73"/>
      <c r="H447" s="73"/>
      <c r="I447" s="73"/>
      <c r="J447" s="73"/>
      <c r="K447" s="73"/>
    </row>
    <row r="448" spans="1:11">
      <c r="A448" s="94"/>
      <c r="B448" s="94"/>
      <c r="C448" s="73"/>
      <c r="D448" s="73"/>
      <c r="E448" s="73"/>
      <c r="F448" s="73"/>
      <c r="G448" s="73"/>
      <c r="H448" s="73"/>
      <c r="I448" s="73"/>
      <c r="J448" s="73"/>
      <c r="K448" s="73"/>
    </row>
    <row r="449" spans="1:11">
      <c r="A449" s="94"/>
      <c r="B449" s="94"/>
      <c r="C449" s="73"/>
      <c r="D449" s="73"/>
      <c r="E449" s="73"/>
      <c r="F449" s="73"/>
      <c r="G449" s="73"/>
      <c r="H449" s="73"/>
      <c r="I449" s="73"/>
      <c r="J449" s="73"/>
      <c r="K449" s="73"/>
    </row>
    <row r="450" spans="1:11">
      <c r="A450" s="94"/>
      <c r="B450" s="94"/>
      <c r="C450" s="73"/>
      <c r="D450" s="73"/>
      <c r="E450" s="73"/>
      <c r="F450" s="73"/>
      <c r="G450" s="73"/>
      <c r="H450" s="73"/>
      <c r="I450" s="73"/>
      <c r="J450" s="73"/>
      <c r="K450" s="73"/>
    </row>
    <row r="451" spans="1:11">
      <c r="A451" s="94"/>
      <c r="B451" s="94"/>
      <c r="C451" s="73"/>
      <c r="D451" s="73"/>
      <c r="E451" s="73"/>
      <c r="F451" s="73"/>
      <c r="G451" s="73"/>
      <c r="H451" s="73"/>
      <c r="I451" s="73"/>
      <c r="J451" s="73"/>
      <c r="K451" s="73"/>
    </row>
    <row r="452" spans="1:11">
      <c r="A452" s="94"/>
      <c r="B452" s="94"/>
      <c r="C452" s="73"/>
      <c r="D452" s="73"/>
      <c r="E452" s="73"/>
      <c r="F452" s="73"/>
      <c r="G452" s="73"/>
      <c r="H452" s="73"/>
      <c r="I452" s="73"/>
      <c r="J452" s="73"/>
      <c r="K452" s="73"/>
    </row>
    <row r="453" spans="1:11">
      <c r="A453" s="94"/>
      <c r="B453" s="94"/>
      <c r="C453" s="73"/>
      <c r="D453" s="73"/>
      <c r="E453" s="73"/>
      <c r="F453" s="73"/>
      <c r="G453" s="73"/>
      <c r="H453" s="73"/>
      <c r="I453" s="73"/>
      <c r="J453" s="73"/>
      <c r="K453" s="73"/>
    </row>
    <row r="454" spans="1:11">
      <c r="A454" s="94"/>
      <c r="B454" s="94"/>
      <c r="C454" s="73"/>
      <c r="D454" s="73"/>
      <c r="E454" s="73"/>
      <c r="F454" s="73"/>
      <c r="G454" s="73"/>
      <c r="H454" s="73"/>
      <c r="I454" s="73"/>
      <c r="J454" s="73"/>
      <c r="K454" s="73"/>
    </row>
    <row r="455" spans="1:11">
      <c r="A455" s="94"/>
      <c r="B455" s="94"/>
      <c r="C455" s="73"/>
      <c r="D455" s="73"/>
      <c r="E455" s="73"/>
      <c r="F455" s="73"/>
      <c r="G455" s="73"/>
      <c r="H455" s="73"/>
      <c r="I455" s="73"/>
      <c r="J455" s="73"/>
      <c r="K455" s="73"/>
    </row>
    <row r="456" spans="1:11">
      <c r="A456" s="94"/>
      <c r="B456" s="94"/>
      <c r="C456" s="73"/>
      <c r="D456" s="73"/>
      <c r="E456" s="73"/>
      <c r="F456" s="73"/>
      <c r="G456" s="73"/>
      <c r="H456" s="73"/>
      <c r="I456" s="73"/>
      <c r="J456" s="73"/>
      <c r="K456" s="73"/>
    </row>
    <row r="457" spans="1:11">
      <c r="A457" s="94"/>
      <c r="B457" s="94"/>
      <c r="C457" s="73"/>
      <c r="D457" s="73"/>
      <c r="E457" s="73"/>
      <c r="F457" s="73"/>
      <c r="G457" s="73"/>
      <c r="H457" s="73"/>
      <c r="I457" s="73"/>
      <c r="J457" s="73"/>
      <c r="K457" s="73"/>
    </row>
    <row r="458" spans="1:11">
      <c r="A458" s="94"/>
      <c r="B458" s="94"/>
      <c r="C458" s="73"/>
      <c r="D458" s="73"/>
      <c r="E458" s="73"/>
      <c r="F458" s="73"/>
      <c r="G458" s="73"/>
      <c r="H458" s="73"/>
      <c r="I458" s="73"/>
      <c r="J458" s="73"/>
      <c r="K458" s="73"/>
    </row>
    <row r="459" spans="1:11">
      <c r="A459" s="94"/>
      <c r="B459" s="94"/>
      <c r="C459" s="73"/>
      <c r="D459" s="73"/>
      <c r="E459" s="73"/>
      <c r="F459" s="73"/>
      <c r="G459" s="73"/>
      <c r="H459" s="73"/>
      <c r="I459" s="73"/>
      <c r="J459" s="73"/>
      <c r="K459" s="73"/>
    </row>
    <row r="460" spans="1:11">
      <c r="A460" s="94"/>
      <c r="B460" s="94"/>
      <c r="C460" s="73"/>
      <c r="D460" s="73"/>
      <c r="E460" s="73"/>
      <c r="F460" s="73"/>
      <c r="G460" s="73"/>
      <c r="H460" s="73"/>
      <c r="I460" s="73"/>
      <c r="J460" s="73"/>
      <c r="K460" s="73"/>
    </row>
    <row r="461" spans="1:11">
      <c r="A461" s="94"/>
      <c r="B461" s="94"/>
      <c r="C461" s="73"/>
      <c r="D461" s="73"/>
      <c r="E461" s="73"/>
      <c r="F461" s="73"/>
      <c r="G461" s="73"/>
      <c r="H461" s="73"/>
      <c r="I461" s="73"/>
      <c r="J461" s="73"/>
      <c r="K461" s="73"/>
    </row>
    <row r="462" spans="1:11">
      <c r="A462" s="94"/>
      <c r="B462" s="94"/>
      <c r="C462" s="73"/>
      <c r="D462" s="73"/>
      <c r="E462" s="73"/>
      <c r="F462" s="73"/>
      <c r="G462" s="73"/>
      <c r="H462" s="73"/>
      <c r="I462" s="73"/>
      <c r="J462" s="73"/>
      <c r="K462" s="73"/>
    </row>
    <row r="463" spans="1:11">
      <c r="A463" s="94"/>
      <c r="B463" s="94"/>
      <c r="C463" s="73"/>
      <c r="D463" s="73"/>
      <c r="E463" s="73"/>
      <c r="F463" s="73"/>
      <c r="G463" s="73"/>
      <c r="H463" s="73"/>
      <c r="I463" s="73"/>
      <c r="J463" s="73"/>
      <c r="K463" s="73"/>
    </row>
    <row r="464" spans="1:11">
      <c r="A464" s="94"/>
      <c r="B464" s="94"/>
      <c r="C464" s="73"/>
      <c r="D464" s="73"/>
      <c r="E464" s="73"/>
      <c r="F464" s="73"/>
      <c r="G464" s="73"/>
      <c r="H464" s="73"/>
      <c r="I464" s="73"/>
      <c r="J464" s="73"/>
      <c r="K464" s="73"/>
    </row>
    <row r="465" spans="1:11">
      <c r="A465" s="94"/>
      <c r="B465" s="94"/>
      <c r="C465" s="73"/>
      <c r="D465" s="73"/>
      <c r="F465" s="73"/>
      <c r="G465" s="73"/>
      <c r="H465" s="73"/>
      <c r="I465" s="73"/>
      <c r="J465" s="73"/>
      <c r="K465" s="73"/>
    </row>
  </sheetData>
  <mergeCells count="20">
    <mergeCell ref="A128:A139"/>
    <mergeCell ref="A140:A146"/>
    <mergeCell ref="A147:A151"/>
    <mergeCell ref="A152:A163"/>
    <mergeCell ref="A164:A172"/>
    <mergeCell ref="A79:A85"/>
    <mergeCell ref="A86:A94"/>
    <mergeCell ref="A95:A108"/>
    <mergeCell ref="A109:A121"/>
    <mergeCell ref="A122:A127"/>
    <mergeCell ref="A32:A38"/>
    <mergeCell ref="A39:A44"/>
    <mergeCell ref="A45:A50"/>
    <mergeCell ref="A51:A64"/>
    <mergeCell ref="A65:A78"/>
    <mergeCell ref="A1:K1"/>
    <mergeCell ref="A2:A3"/>
    <mergeCell ref="A4:A13"/>
    <mergeCell ref="A14:A24"/>
    <mergeCell ref="A25:A31"/>
  </mergeCells>
  <pageMargins left="0.69930555555555596" right="0.39305555555555599" top="0.196527777777778" bottom="0.196527777777778" header="0.3" footer="0.3541666666666670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indexed="16"/>
  </sheetPr>
  <dimension ref="A1:AT357"/>
  <sheetViews>
    <sheetView tabSelected="1" zoomScaleNormal="100" workbookViewId="0">
      <pane xSplit="1" ySplit="3" topLeftCell="B4" activePane="bottomRight" state="frozen"/>
      <selection activeCell="G17" sqref="G17"/>
      <selection pane="topRight" activeCell="G17" sqref="G17"/>
      <selection pane="bottomLeft" activeCell="G17" sqref="G17"/>
      <selection pane="bottomRight" sqref="A1:K1"/>
    </sheetView>
  </sheetViews>
  <sheetFormatPr defaultColWidth="9" defaultRowHeight="15"/>
  <cols>
    <col min="1" max="1" width="5.7109375" customWidth="1"/>
    <col min="2" max="2" width="14.140625" customWidth="1"/>
    <col min="3" max="5" width="13.85546875" customWidth="1"/>
    <col min="6" max="6" width="13.42578125" customWidth="1"/>
    <col min="7" max="8" width="13.85546875" customWidth="1"/>
    <col min="9" max="9" width="13.5703125" customWidth="1"/>
    <col min="10" max="11" width="13.85546875" customWidth="1"/>
    <col min="12" max="12" width="19" customWidth="1"/>
    <col min="13" max="13" width="11.5703125" customWidth="1"/>
    <col min="15" max="15" width="2.85546875" style="30" customWidth="1"/>
  </cols>
  <sheetData>
    <row r="1" spans="1:14" ht="29.25">
      <c r="A1" s="601" t="s">
        <v>1752</v>
      </c>
      <c r="B1" s="602"/>
      <c r="C1" s="602"/>
      <c r="D1" s="602"/>
      <c r="E1" s="602"/>
      <c r="F1" s="602"/>
      <c r="G1" s="602"/>
      <c r="H1" s="602"/>
      <c r="I1" s="602"/>
      <c r="J1" s="602"/>
      <c r="K1" s="603"/>
      <c r="L1" s="70"/>
      <c r="M1" s="70"/>
      <c r="N1" s="71"/>
    </row>
    <row r="2" spans="1:14">
      <c r="A2" s="610" t="s">
        <v>1381</v>
      </c>
      <c r="B2" s="31" t="s">
        <v>4</v>
      </c>
      <c r="C2" s="31" t="s">
        <v>5</v>
      </c>
      <c r="D2" s="31" t="s">
        <v>6</v>
      </c>
      <c r="E2" s="31" t="s">
        <v>7</v>
      </c>
      <c r="F2" s="32" t="s">
        <v>8</v>
      </c>
      <c r="G2" s="31" t="s">
        <v>9</v>
      </c>
      <c r="H2" s="31" t="s">
        <v>10</v>
      </c>
      <c r="I2" s="31" t="s">
        <v>11</v>
      </c>
      <c r="J2" s="31" t="s">
        <v>12</v>
      </c>
      <c r="K2" s="72" t="s">
        <v>1071</v>
      </c>
      <c r="L2" s="73"/>
      <c r="M2" s="73"/>
      <c r="N2" s="74"/>
    </row>
    <row r="3" spans="1:14" ht="15.75" thickBot="1">
      <c r="A3" s="611"/>
      <c r="B3" s="33" t="s">
        <v>18</v>
      </c>
      <c r="C3" s="33" t="s">
        <v>19</v>
      </c>
      <c r="D3" s="33" t="s">
        <v>20</v>
      </c>
      <c r="E3" s="33" t="s">
        <v>21</v>
      </c>
      <c r="F3" s="33" t="s">
        <v>22</v>
      </c>
      <c r="G3" s="33" t="s">
        <v>23</v>
      </c>
      <c r="H3" s="33" t="s">
        <v>24</v>
      </c>
      <c r="I3" s="33" t="s">
        <v>25</v>
      </c>
      <c r="J3" s="33" t="s">
        <v>26</v>
      </c>
      <c r="K3" s="75" t="s">
        <v>27</v>
      </c>
      <c r="L3" s="73"/>
      <c r="M3" s="73"/>
      <c r="N3" s="74"/>
    </row>
    <row r="4" spans="1:14" ht="33.75" thickBot="1">
      <c r="A4" s="612" t="s">
        <v>1382</v>
      </c>
      <c r="B4" s="399" t="s">
        <v>1383</v>
      </c>
      <c r="C4" s="400" t="s">
        <v>1384</v>
      </c>
      <c r="D4" s="400" t="s">
        <v>1385</v>
      </c>
      <c r="E4" s="400" t="s">
        <v>1386</v>
      </c>
      <c r="F4" s="400" t="s">
        <v>1387</v>
      </c>
      <c r="G4" s="400" t="s">
        <v>1388</v>
      </c>
      <c r="H4" s="400" t="s">
        <v>1389</v>
      </c>
      <c r="I4" s="400" t="s">
        <v>1390</v>
      </c>
      <c r="J4" s="401" t="s">
        <v>1391</v>
      </c>
      <c r="K4" s="401" t="s">
        <v>1392</v>
      </c>
      <c r="L4" s="73"/>
      <c r="M4" s="73"/>
      <c r="N4" s="74"/>
    </row>
    <row r="5" spans="1:14" ht="17.45" customHeight="1">
      <c r="A5" s="613"/>
      <c r="B5" s="34" t="s">
        <v>1164</v>
      </c>
      <c r="C5" s="36" t="s">
        <v>1098</v>
      </c>
      <c r="D5" s="38" t="s">
        <v>1209</v>
      </c>
      <c r="E5" s="36" t="s">
        <v>1286</v>
      </c>
      <c r="F5" s="36" t="s">
        <v>1133</v>
      </c>
      <c r="G5" s="36" t="s">
        <v>1244</v>
      </c>
      <c r="H5" s="36" t="s">
        <v>1207</v>
      </c>
      <c r="I5" s="36" t="s">
        <v>1246</v>
      </c>
      <c r="J5" s="54" t="s">
        <v>1100</v>
      </c>
      <c r="K5" s="76" t="s">
        <v>1156</v>
      </c>
      <c r="L5" s="73"/>
      <c r="M5" s="73"/>
      <c r="N5" s="74"/>
    </row>
    <row r="6" spans="1:14" ht="17.45" customHeight="1">
      <c r="A6" s="613"/>
      <c r="B6" s="37" t="s">
        <v>1208</v>
      </c>
      <c r="C6" s="38" t="s">
        <v>1342</v>
      </c>
      <c r="D6" s="38" t="s">
        <v>1134</v>
      </c>
      <c r="E6" s="39" t="s">
        <v>234</v>
      </c>
      <c r="F6" s="38" t="s">
        <v>1266</v>
      </c>
      <c r="G6" s="38" t="s">
        <v>453</v>
      </c>
      <c r="H6" s="38" t="s">
        <v>1245</v>
      </c>
      <c r="I6" s="38" t="s">
        <v>1204</v>
      </c>
      <c r="J6" s="38" t="s">
        <v>1205</v>
      </c>
      <c r="K6" s="77" t="s">
        <v>1300</v>
      </c>
      <c r="L6" s="73"/>
      <c r="M6" s="73"/>
      <c r="N6" s="74"/>
    </row>
    <row r="7" spans="1:14" ht="17.45" customHeight="1">
      <c r="A7" s="613"/>
      <c r="B7" s="37" t="s">
        <v>1160</v>
      </c>
      <c r="C7" s="38" t="s">
        <v>1139</v>
      </c>
      <c r="D7" s="38" t="s">
        <v>1135</v>
      </c>
      <c r="E7" s="39" t="s">
        <v>1531</v>
      </c>
      <c r="F7" s="38" t="s">
        <v>1267</v>
      </c>
      <c r="G7" s="38" t="s">
        <v>1182</v>
      </c>
      <c r="H7" s="38" t="s">
        <v>1257</v>
      </c>
      <c r="I7" s="38" t="s">
        <v>745</v>
      </c>
      <c r="J7" s="38" t="s">
        <v>1393</v>
      </c>
      <c r="K7" s="77" t="s">
        <v>1117</v>
      </c>
      <c r="L7" s="73"/>
      <c r="M7" s="73"/>
      <c r="N7" s="74"/>
    </row>
    <row r="8" spans="1:14" ht="17.45" customHeight="1">
      <c r="A8" s="613"/>
      <c r="B8" s="37" t="s">
        <v>1218</v>
      </c>
      <c r="C8" s="40" t="s">
        <v>1159</v>
      </c>
      <c r="D8" s="38" t="s">
        <v>1099</v>
      </c>
      <c r="E8" s="43" t="s">
        <v>1259</v>
      </c>
      <c r="F8" s="38" t="s">
        <v>1265</v>
      </c>
      <c r="G8" s="38" t="s">
        <v>1190</v>
      </c>
      <c r="H8" s="38" t="s">
        <v>1183</v>
      </c>
      <c r="I8" s="38" t="s">
        <v>1248</v>
      </c>
      <c r="J8" s="38" t="s">
        <v>1263</v>
      </c>
      <c r="K8" s="77" t="s">
        <v>1143</v>
      </c>
      <c r="L8" s="73"/>
      <c r="M8" s="73"/>
      <c r="N8" s="74"/>
    </row>
    <row r="9" spans="1:14" ht="17.45" customHeight="1">
      <c r="A9" s="613"/>
      <c r="B9" s="37" t="s">
        <v>1167</v>
      </c>
      <c r="C9" s="40" t="s">
        <v>1223</v>
      </c>
      <c r="D9" s="38" t="s">
        <v>1155</v>
      </c>
      <c r="E9" s="38" t="s">
        <v>1217</v>
      </c>
      <c r="F9" s="38" t="s">
        <v>827</v>
      </c>
      <c r="G9" s="38" t="s">
        <v>1158</v>
      </c>
      <c r="H9" s="38" t="s">
        <v>1141</v>
      </c>
      <c r="I9" s="38" t="s">
        <v>1103</v>
      </c>
      <c r="J9" s="38" t="s">
        <v>1203</v>
      </c>
      <c r="K9" s="77" t="s">
        <v>1258</v>
      </c>
      <c r="L9" s="73"/>
      <c r="M9" s="73"/>
      <c r="N9" s="74"/>
    </row>
    <row r="10" spans="1:14" ht="17.45" customHeight="1">
      <c r="A10" s="613"/>
      <c r="B10" s="37" t="s">
        <v>1250</v>
      </c>
      <c r="C10" s="42" t="s">
        <v>1251</v>
      </c>
      <c r="D10" s="43" t="s">
        <v>1104</v>
      </c>
      <c r="E10" s="38" t="s">
        <v>1438</v>
      </c>
      <c r="F10" s="38" t="s">
        <v>1395</v>
      </c>
      <c r="G10" s="38" t="s">
        <v>1394</v>
      </c>
      <c r="H10" s="38" t="s">
        <v>1262</v>
      </c>
      <c r="I10" s="40" t="s">
        <v>1193</v>
      </c>
      <c r="J10" s="38" t="s">
        <v>1181</v>
      </c>
      <c r="K10" s="77" t="s">
        <v>1220</v>
      </c>
      <c r="L10" s="73"/>
      <c r="M10" s="73"/>
      <c r="N10" s="74"/>
    </row>
    <row r="11" spans="1:14" ht="17.45" customHeight="1">
      <c r="A11" s="613"/>
      <c r="B11" s="37" t="s">
        <v>1213</v>
      </c>
      <c r="C11" s="44" t="s">
        <v>1186</v>
      </c>
      <c r="D11" s="43" t="s">
        <v>1119</v>
      </c>
      <c r="E11" s="41" t="s">
        <v>864</v>
      </c>
      <c r="F11" s="43" t="s">
        <v>1136</v>
      </c>
      <c r="G11" s="38" t="s">
        <v>1096</v>
      </c>
      <c r="H11" s="38" t="s">
        <v>1080</v>
      </c>
      <c r="I11" s="43" t="s">
        <v>1230</v>
      </c>
      <c r="J11" s="38" t="s">
        <v>1118</v>
      </c>
      <c r="K11" s="78" t="s">
        <v>1211</v>
      </c>
      <c r="L11" s="73"/>
      <c r="M11" s="73"/>
      <c r="N11" s="74"/>
    </row>
    <row r="12" spans="1:14" ht="17.45" customHeight="1">
      <c r="A12" s="613"/>
      <c r="B12" s="37" t="s">
        <v>1121</v>
      </c>
      <c r="C12" s="38" t="s">
        <v>1303</v>
      </c>
      <c r="D12" s="42" t="s">
        <v>1232</v>
      </c>
      <c r="E12" s="41" t="s">
        <v>864</v>
      </c>
      <c r="F12" s="43" t="s">
        <v>1261</v>
      </c>
      <c r="G12" s="38" t="s">
        <v>1221</v>
      </c>
      <c r="H12" s="38" t="s">
        <v>1137</v>
      </c>
      <c r="I12" s="42" t="s">
        <v>1157</v>
      </c>
      <c r="J12" s="38" t="s">
        <v>515</v>
      </c>
      <c r="K12" s="78" t="s">
        <v>1166</v>
      </c>
      <c r="L12" s="73"/>
      <c r="M12" s="73"/>
      <c r="N12" s="74"/>
    </row>
    <row r="13" spans="1:14" ht="17.45" customHeight="1">
      <c r="A13" s="613"/>
      <c r="B13" s="37" t="s">
        <v>1225</v>
      </c>
      <c r="C13" s="456" t="s">
        <v>1271</v>
      </c>
      <c r="D13" s="44" t="s">
        <v>1229</v>
      </c>
      <c r="E13" s="41" t="s">
        <v>864</v>
      </c>
      <c r="F13" s="44" t="s">
        <v>1108</v>
      </c>
      <c r="G13" s="38" t="s">
        <v>1224</v>
      </c>
      <c r="H13" s="38" t="s">
        <v>1215</v>
      </c>
      <c r="I13" s="44" t="s">
        <v>1106</v>
      </c>
      <c r="J13" s="42" t="s">
        <v>1192</v>
      </c>
      <c r="K13" s="79" t="s">
        <v>1171</v>
      </c>
      <c r="L13" s="73"/>
      <c r="M13" s="73"/>
      <c r="N13" s="74"/>
    </row>
    <row r="14" spans="1:14" ht="17.45" customHeight="1">
      <c r="A14" s="613"/>
      <c r="B14" s="45" t="s">
        <v>1161</v>
      </c>
      <c r="C14" s="402" t="s">
        <v>1206</v>
      </c>
      <c r="D14" s="43" t="s">
        <v>1399</v>
      </c>
      <c r="E14" s="41" t="s">
        <v>864</v>
      </c>
      <c r="F14" s="50" t="s">
        <v>1305</v>
      </c>
      <c r="G14" s="38" t="s">
        <v>1354</v>
      </c>
      <c r="H14" s="456" t="s">
        <v>1228</v>
      </c>
      <c r="I14" s="43" t="s">
        <v>1506</v>
      </c>
      <c r="J14" s="42" t="s">
        <v>1219</v>
      </c>
      <c r="K14" s="79" t="s">
        <v>1264</v>
      </c>
      <c r="L14" s="73"/>
      <c r="M14" s="73"/>
      <c r="N14" s="74"/>
    </row>
    <row r="15" spans="1:14" ht="17.45" customHeight="1">
      <c r="A15" s="613"/>
      <c r="B15" s="47" t="s">
        <v>1168</v>
      </c>
      <c r="C15" s="42" t="s">
        <v>1485</v>
      </c>
      <c r="D15" s="456" t="s">
        <v>1163</v>
      </c>
      <c r="E15" s="41" t="s">
        <v>864</v>
      </c>
      <c r="F15" s="38" t="s">
        <v>1398</v>
      </c>
      <c r="G15" s="49" t="s">
        <v>1122</v>
      </c>
      <c r="H15" s="456" t="s">
        <v>1237</v>
      </c>
      <c r="I15" s="435" t="s">
        <v>1605</v>
      </c>
      <c r="J15" s="43" t="s">
        <v>1397</v>
      </c>
      <c r="K15" s="80" t="s">
        <v>1491</v>
      </c>
      <c r="L15" s="73"/>
      <c r="M15" s="73"/>
      <c r="N15" s="74"/>
    </row>
    <row r="16" spans="1:14" ht="17.45" customHeight="1">
      <c r="A16" s="613"/>
      <c r="B16" s="47" t="s">
        <v>1227</v>
      </c>
      <c r="C16" s="41" t="s">
        <v>864</v>
      </c>
      <c r="D16" s="456" t="s">
        <v>1235</v>
      </c>
      <c r="E16" s="41" t="s">
        <v>864</v>
      </c>
      <c r="F16" s="452" t="s">
        <v>1170</v>
      </c>
      <c r="G16" s="43" t="s">
        <v>1396</v>
      </c>
      <c r="H16" s="456" t="s">
        <v>1535</v>
      </c>
      <c r="I16" s="456" t="s">
        <v>1231</v>
      </c>
      <c r="J16" s="44" t="s">
        <v>1138</v>
      </c>
      <c r="K16" s="81" t="s">
        <v>301</v>
      </c>
      <c r="L16" s="73"/>
      <c r="M16" s="73"/>
      <c r="N16" s="74"/>
    </row>
    <row r="17" spans="1:14" ht="17.45" customHeight="1">
      <c r="A17" s="613"/>
      <c r="B17" s="458" t="s">
        <v>1268</v>
      </c>
      <c r="C17" s="41" t="s">
        <v>864</v>
      </c>
      <c r="D17" s="38" t="s">
        <v>1529</v>
      </c>
      <c r="E17" s="41" t="s">
        <v>864</v>
      </c>
      <c r="F17" s="46" t="s">
        <v>1616</v>
      </c>
      <c r="G17" s="42" t="s">
        <v>1260</v>
      </c>
      <c r="H17" s="42" t="s">
        <v>1185</v>
      </c>
      <c r="I17" s="456" t="s">
        <v>1105</v>
      </c>
      <c r="J17" s="83" t="s">
        <v>1319</v>
      </c>
      <c r="K17" s="79" t="s">
        <v>1236</v>
      </c>
      <c r="L17" s="73"/>
      <c r="M17" s="73"/>
      <c r="N17" s="74"/>
    </row>
    <row r="18" spans="1:14" ht="17.45" customHeight="1">
      <c r="A18" s="613"/>
      <c r="B18" s="451" t="s">
        <v>1188</v>
      </c>
      <c r="C18" s="41" t="s">
        <v>864</v>
      </c>
      <c r="D18" s="44" t="s">
        <v>1488</v>
      </c>
      <c r="E18" s="41" t="s">
        <v>864</v>
      </c>
      <c r="F18" s="46" t="s">
        <v>1638</v>
      </c>
      <c r="G18" s="42" t="s">
        <v>1101</v>
      </c>
      <c r="H18" s="46" t="s">
        <v>1627</v>
      </c>
      <c r="I18" s="456" t="s">
        <v>1120</v>
      </c>
      <c r="J18" s="38" t="s">
        <v>1400</v>
      </c>
      <c r="K18" s="457" t="s">
        <v>1269</v>
      </c>
      <c r="L18" s="73"/>
      <c r="M18" s="73"/>
      <c r="N18" s="74"/>
    </row>
    <row r="19" spans="1:14" ht="17.45" customHeight="1">
      <c r="A19" s="613"/>
      <c r="B19" s="451" t="s">
        <v>1191</v>
      </c>
      <c r="C19" s="41" t="s">
        <v>864</v>
      </c>
      <c r="D19" s="46" t="s">
        <v>1702</v>
      </c>
      <c r="E19" s="41" t="s">
        <v>864</v>
      </c>
      <c r="F19" s="46" t="s">
        <v>1669</v>
      </c>
      <c r="G19" s="44" t="s">
        <v>1487</v>
      </c>
      <c r="H19" s="46" t="s">
        <v>1632</v>
      </c>
      <c r="I19" s="452" t="s">
        <v>1739</v>
      </c>
      <c r="J19" s="456" t="s">
        <v>1140</v>
      </c>
      <c r="K19" s="457" t="s">
        <v>1272</v>
      </c>
      <c r="L19" s="73"/>
      <c r="M19" s="73"/>
      <c r="N19" s="74"/>
    </row>
    <row r="20" spans="1:14" ht="17.45" customHeight="1">
      <c r="A20" s="613"/>
      <c r="B20" s="458" t="s">
        <v>1477</v>
      </c>
      <c r="C20" s="41" t="s">
        <v>864</v>
      </c>
      <c r="D20" s="46" t="s">
        <v>1765</v>
      </c>
      <c r="E20" s="41" t="s">
        <v>864</v>
      </c>
      <c r="F20" s="46" t="s">
        <v>1766</v>
      </c>
      <c r="G20" s="456" t="s">
        <v>1102</v>
      </c>
      <c r="H20" s="46" t="s">
        <v>1637</v>
      </c>
      <c r="I20" s="46" t="s">
        <v>1610</v>
      </c>
      <c r="J20" s="435" t="s">
        <v>1546</v>
      </c>
      <c r="K20" s="457" t="s">
        <v>1274</v>
      </c>
      <c r="L20" s="73"/>
      <c r="M20" s="73"/>
      <c r="N20" s="74"/>
    </row>
    <row r="21" spans="1:14" ht="17.45" customHeight="1">
      <c r="A21" s="613"/>
      <c r="B21" s="46" t="s">
        <v>1622</v>
      </c>
      <c r="C21" s="41" t="s">
        <v>864</v>
      </c>
      <c r="D21" s="41" t="s">
        <v>864</v>
      </c>
      <c r="E21" s="41" t="s">
        <v>864</v>
      </c>
      <c r="F21" s="46" t="s">
        <v>1676</v>
      </c>
      <c r="G21" s="466" t="s">
        <v>1273</v>
      </c>
      <c r="H21" s="46" t="s">
        <v>1690</v>
      </c>
      <c r="I21" s="46" t="s">
        <v>1777</v>
      </c>
      <c r="J21" s="46" t="s">
        <v>1643</v>
      </c>
      <c r="K21" s="77" t="s">
        <v>1317</v>
      </c>
      <c r="L21" s="73"/>
      <c r="M21" s="73"/>
      <c r="N21" s="74"/>
    </row>
    <row r="22" spans="1:14" ht="17.45" customHeight="1">
      <c r="A22" s="613"/>
      <c r="B22" s="69" t="s">
        <v>864</v>
      </c>
      <c r="C22" s="41" t="s">
        <v>864</v>
      </c>
      <c r="D22" s="41" t="s">
        <v>864</v>
      </c>
      <c r="E22" s="41" t="s">
        <v>864</v>
      </c>
      <c r="F22" s="46" t="s">
        <v>1720</v>
      </c>
      <c r="G22" s="38" t="s">
        <v>1214</v>
      </c>
      <c r="H22" s="46" t="s">
        <v>1696</v>
      </c>
      <c r="I22" s="46" t="s">
        <v>1786</v>
      </c>
      <c r="J22" s="46" t="s">
        <v>1684</v>
      </c>
      <c r="K22" s="86" t="s">
        <v>734</v>
      </c>
      <c r="L22" s="73"/>
      <c r="M22" s="73"/>
      <c r="N22" s="74"/>
    </row>
    <row r="23" spans="1:14" ht="17.45" customHeight="1">
      <c r="A23" s="613"/>
      <c r="B23" s="69" t="s">
        <v>864</v>
      </c>
      <c r="C23" s="41" t="s">
        <v>864</v>
      </c>
      <c r="D23" s="41" t="s">
        <v>864</v>
      </c>
      <c r="E23" s="41" t="s">
        <v>864</v>
      </c>
      <c r="F23" s="41" t="s">
        <v>864</v>
      </c>
      <c r="G23" s="46" t="s">
        <v>1794</v>
      </c>
      <c r="H23" s="46" t="s">
        <v>1710</v>
      </c>
      <c r="I23" s="46" t="s">
        <v>1663</v>
      </c>
      <c r="J23" s="452" t="s">
        <v>1428</v>
      </c>
      <c r="K23" s="77" t="s">
        <v>1222</v>
      </c>
      <c r="L23" s="73"/>
      <c r="M23" s="73"/>
      <c r="N23" s="74"/>
    </row>
    <row r="24" spans="1:14" ht="17.45" customHeight="1" thickBot="1">
      <c r="A24" s="613"/>
      <c r="B24" s="52" t="s">
        <v>864</v>
      </c>
      <c r="C24" s="53" t="s">
        <v>864</v>
      </c>
      <c r="D24" s="53" t="s">
        <v>864</v>
      </c>
      <c r="E24" s="53" t="s">
        <v>864</v>
      </c>
      <c r="F24" s="53" t="s">
        <v>864</v>
      </c>
      <c r="G24" s="41" t="s">
        <v>864</v>
      </c>
      <c r="H24" s="46" t="s">
        <v>1729</v>
      </c>
      <c r="I24" s="53" t="s">
        <v>864</v>
      </c>
      <c r="J24" s="53" t="s">
        <v>864</v>
      </c>
      <c r="K24" s="436" t="s">
        <v>1316</v>
      </c>
      <c r="L24" s="73"/>
      <c r="M24" s="73"/>
      <c r="N24" s="74"/>
    </row>
    <row r="25" spans="1:14" ht="18.75" thickBot="1">
      <c r="A25" s="604" t="s">
        <v>1401</v>
      </c>
      <c r="B25" s="605"/>
      <c r="C25" s="605"/>
      <c r="D25" s="605"/>
      <c r="E25" s="605"/>
      <c r="F25" s="605"/>
      <c r="G25" s="605"/>
      <c r="H25" s="605"/>
      <c r="I25" s="605"/>
      <c r="J25" s="605"/>
      <c r="K25" s="606"/>
      <c r="L25" s="73"/>
      <c r="M25" s="73"/>
      <c r="N25" s="74"/>
    </row>
    <row r="26" spans="1:14" ht="17.45" customHeight="1">
      <c r="A26" s="614" t="s">
        <v>1402</v>
      </c>
      <c r="B26" s="403" t="s">
        <v>148</v>
      </c>
      <c r="C26" s="57" t="s">
        <v>167</v>
      </c>
      <c r="D26" s="36" t="s">
        <v>1404</v>
      </c>
      <c r="E26" s="58" t="s">
        <v>675</v>
      </c>
      <c r="F26" s="54" t="s">
        <v>1495</v>
      </c>
      <c r="G26" s="55" t="s">
        <v>91</v>
      </c>
      <c r="H26" s="54" t="s">
        <v>1740</v>
      </c>
      <c r="I26" s="57" t="s">
        <v>44</v>
      </c>
      <c r="J26" s="36" t="s">
        <v>1406</v>
      </c>
      <c r="K26" s="77" t="s">
        <v>1253</v>
      </c>
      <c r="L26" s="73"/>
      <c r="M26" s="73"/>
      <c r="N26" s="74"/>
    </row>
    <row r="27" spans="1:14" ht="17.45" customHeight="1">
      <c r="A27" s="615"/>
      <c r="B27" s="56" t="s">
        <v>44</v>
      </c>
      <c r="C27" s="57" t="s">
        <v>56</v>
      </c>
      <c r="D27" s="59" t="s">
        <v>1508</v>
      </c>
      <c r="E27" s="60" t="s">
        <v>55</v>
      </c>
      <c r="F27" s="40" t="s">
        <v>1363</v>
      </c>
      <c r="G27" s="40" t="s">
        <v>1100</v>
      </c>
      <c r="H27" s="38" t="s">
        <v>1405</v>
      </c>
      <c r="I27" s="38" t="s">
        <v>1205</v>
      </c>
      <c r="J27" s="38" t="s">
        <v>1404</v>
      </c>
      <c r="K27" s="77" t="s">
        <v>1394</v>
      </c>
      <c r="L27" s="73"/>
      <c r="M27" s="73"/>
      <c r="N27" s="74"/>
    </row>
    <row r="28" spans="1:14" ht="17.45" customHeight="1">
      <c r="A28" s="615"/>
      <c r="B28" s="56" t="s">
        <v>91</v>
      </c>
      <c r="C28" s="38" t="s">
        <v>1397</v>
      </c>
      <c r="D28" s="62" t="s">
        <v>657</v>
      </c>
      <c r="E28" s="57" t="s">
        <v>146</v>
      </c>
      <c r="F28" s="58" t="s">
        <v>802</v>
      </c>
      <c r="G28" s="57" t="s">
        <v>78</v>
      </c>
      <c r="H28" s="57" t="s">
        <v>167</v>
      </c>
      <c r="I28" s="38" t="s">
        <v>1408</v>
      </c>
      <c r="J28" s="38" t="s">
        <v>1409</v>
      </c>
      <c r="K28" s="77" t="s">
        <v>1412</v>
      </c>
      <c r="L28" s="73"/>
      <c r="M28" s="73"/>
      <c r="N28" s="74"/>
    </row>
    <row r="29" spans="1:14" ht="17.45" customHeight="1">
      <c r="A29" s="615"/>
      <c r="B29" s="61" t="s">
        <v>655</v>
      </c>
      <c r="C29" s="38" t="s">
        <v>1208</v>
      </c>
      <c r="D29" s="38" t="s">
        <v>1407</v>
      </c>
      <c r="E29" s="57" t="s">
        <v>103</v>
      </c>
      <c r="F29" s="60" t="s">
        <v>1494</v>
      </c>
      <c r="G29" s="57" t="s">
        <v>43</v>
      </c>
      <c r="H29" s="57" t="s">
        <v>56</v>
      </c>
      <c r="I29" s="40" t="s">
        <v>1507</v>
      </c>
      <c r="J29" s="38" t="s">
        <v>1411</v>
      </c>
      <c r="K29" s="85" t="s">
        <v>736</v>
      </c>
      <c r="L29" s="73"/>
      <c r="M29" s="73"/>
      <c r="N29" s="74"/>
    </row>
    <row r="30" spans="1:14" ht="17.45" customHeight="1">
      <c r="A30" s="615"/>
      <c r="B30" s="37" t="s">
        <v>1413</v>
      </c>
      <c r="C30" s="38" t="s">
        <v>1253</v>
      </c>
      <c r="D30" s="57" t="s">
        <v>89</v>
      </c>
      <c r="E30" s="38" t="s">
        <v>1410</v>
      </c>
      <c r="F30" s="57" t="s">
        <v>128</v>
      </c>
      <c r="G30" s="57" t="s">
        <v>128</v>
      </c>
      <c r="H30" s="60" t="s">
        <v>1494</v>
      </c>
      <c r="I30" s="38" t="s">
        <v>1143</v>
      </c>
      <c r="J30" s="38" t="s">
        <v>542</v>
      </c>
      <c r="K30" s="77" t="s">
        <v>1181</v>
      </c>
      <c r="L30" s="73"/>
      <c r="M30" s="73"/>
      <c r="N30" s="74"/>
    </row>
    <row r="31" spans="1:14" ht="17.45" customHeight="1">
      <c r="A31" s="615"/>
      <c r="B31" s="64" t="s">
        <v>730</v>
      </c>
      <c r="C31" s="38" t="s">
        <v>1393</v>
      </c>
      <c r="D31" s="57" t="s">
        <v>60</v>
      </c>
      <c r="E31" s="38" t="s">
        <v>1253</v>
      </c>
      <c r="F31" s="62" t="s">
        <v>674</v>
      </c>
      <c r="G31" s="62" t="s">
        <v>898</v>
      </c>
      <c r="H31" s="38" t="s">
        <v>1182</v>
      </c>
      <c r="I31" s="58" t="s">
        <v>715</v>
      </c>
      <c r="J31" s="38" t="s">
        <v>1190</v>
      </c>
      <c r="K31" s="85" t="s">
        <v>715</v>
      </c>
      <c r="L31" s="73"/>
      <c r="M31" s="73"/>
      <c r="N31" s="74"/>
    </row>
    <row r="32" spans="1:14" ht="17.45" customHeight="1">
      <c r="A32" s="615"/>
      <c r="B32" s="37" t="s">
        <v>1416</v>
      </c>
      <c r="C32" s="57" t="s">
        <v>57</v>
      </c>
      <c r="D32" s="38" t="s">
        <v>1418</v>
      </c>
      <c r="E32" s="38" t="s">
        <v>1414</v>
      </c>
      <c r="F32" s="57" t="s">
        <v>43</v>
      </c>
      <c r="G32" s="62" t="s">
        <v>758</v>
      </c>
      <c r="H32" s="38" t="s">
        <v>1204</v>
      </c>
      <c r="I32" s="62" t="s">
        <v>703</v>
      </c>
      <c r="J32" s="38" t="s">
        <v>1415</v>
      </c>
      <c r="K32" s="77" t="s">
        <v>1371</v>
      </c>
      <c r="L32" s="73"/>
      <c r="M32" s="73"/>
      <c r="N32" s="74"/>
    </row>
    <row r="33" spans="1:14" ht="17.45" customHeight="1">
      <c r="A33" s="615"/>
      <c r="B33" s="37" t="s">
        <v>1210</v>
      </c>
      <c r="C33" s="38" t="s">
        <v>1417</v>
      </c>
      <c r="D33" s="38" t="s">
        <v>1420</v>
      </c>
      <c r="E33" s="38" t="s">
        <v>1419</v>
      </c>
      <c r="F33" s="38" t="s">
        <v>1426</v>
      </c>
      <c r="G33" s="60" t="s">
        <v>1123</v>
      </c>
      <c r="H33" s="38" t="s">
        <v>1263</v>
      </c>
      <c r="I33" s="60" t="s">
        <v>55</v>
      </c>
      <c r="J33" s="38" t="s">
        <v>1214</v>
      </c>
      <c r="K33" s="77" t="s">
        <v>1099</v>
      </c>
      <c r="L33" s="73"/>
      <c r="M33" s="73"/>
      <c r="N33" s="74"/>
    </row>
    <row r="34" spans="1:14" ht="17.45" customHeight="1">
      <c r="A34" s="615"/>
      <c r="B34" s="37" t="s">
        <v>1423</v>
      </c>
      <c r="C34" s="38" t="s">
        <v>1400</v>
      </c>
      <c r="D34" s="43" t="s">
        <v>1425</v>
      </c>
      <c r="E34" s="38" t="s">
        <v>1421</v>
      </c>
      <c r="F34" s="62" t="s">
        <v>1475</v>
      </c>
      <c r="G34" s="40" t="s">
        <v>734</v>
      </c>
      <c r="H34" s="62" t="s">
        <v>751</v>
      </c>
      <c r="I34" s="57" t="s">
        <v>146</v>
      </c>
      <c r="J34" s="38" t="s">
        <v>1433</v>
      </c>
      <c r="K34" s="77" t="s">
        <v>1137</v>
      </c>
      <c r="L34" s="73"/>
      <c r="M34" s="73"/>
      <c r="N34" s="74"/>
    </row>
    <row r="35" spans="1:14" ht="17.45" customHeight="1">
      <c r="A35" s="615"/>
      <c r="B35" s="37" t="s">
        <v>1429</v>
      </c>
      <c r="C35" s="38" t="s">
        <v>1424</v>
      </c>
      <c r="D35" s="43" t="s">
        <v>1430</v>
      </c>
      <c r="E35" s="57" t="s">
        <v>79</v>
      </c>
      <c r="F35" s="62" t="s">
        <v>1252</v>
      </c>
      <c r="G35" s="57" t="s">
        <v>60</v>
      </c>
      <c r="H35" s="38" t="s">
        <v>1422</v>
      </c>
      <c r="I35" s="57" t="s">
        <v>103</v>
      </c>
      <c r="J35" s="38" t="s">
        <v>1441</v>
      </c>
      <c r="K35" s="77" t="s">
        <v>1086</v>
      </c>
      <c r="L35" s="73"/>
      <c r="M35" s="73"/>
      <c r="N35" s="74"/>
    </row>
    <row r="36" spans="1:14" ht="17.45" customHeight="1">
      <c r="A36" s="615"/>
      <c r="B36" s="56" t="s">
        <v>78</v>
      </c>
      <c r="C36" s="38" t="s">
        <v>1245</v>
      </c>
      <c r="D36" s="44" t="s">
        <v>1487</v>
      </c>
      <c r="E36" s="38" t="s">
        <v>1443</v>
      </c>
      <c r="F36" s="38" t="s">
        <v>1317</v>
      </c>
      <c r="G36" s="59" t="s">
        <v>732</v>
      </c>
      <c r="H36" s="38" t="s">
        <v>1427</v>
      </c>
      <c r="I36" s="38" t="s">
        <v>1432</v>
      </c>
      <c r="J36" s="38" t="s">
        <v>1444</v>
      </c>
      <c r="K36" s="77" t="s">
        <v>1778</v>
      </c>
      <c r="L36" s="73"/>
      <c r="M36" s="73"/>
      <c r="N36" s="74"/>
    </row>
    <row r="37" spans="1:14" ht="17.45" customHeight="1">
      <c r="A37" s="615"/>
      <c r="B37" s="37" t="s">
        <v>1262</v>
      </c>
      <c r="C37" s="65" t="s">
        <v>825</v>
      </c>
      <c r="D37" s="44" t="s">
        <v>1491</v>
      </c>
      <c r="E37" s="38" t="s">
        <v>1445</v>
      </c>
      <c r="F37" s="59" t="s">
        <v>1216</v>
      </c>
      <c r="G37" s="38" t="s">
        <v>1435</v>
      </c>
      <c r="H37" s="38" t="s">
        <v>1431</v>
      </c>
      <c r="I37" s="38" t="s">
        <v>1437</v>
      </c>
      <c r="J37" s="40" t="s">
        <v>1159</v>
      </c>
      <c r="K37" s="78" t="s">
        <v>1451</v>
      </c>
      <c r="L37" s="73"/>
      <c r="M37" s="73"/>
      <c r="N37" s="74"/>
    </row>
    <row r="38" spans="1:14" ht="17.45" customHeight="1">
      <c r="A38" s="615"/>
      <c r="B38" s="37" t="s">
        <v>1442</v>
      </c>
      <c r="C38" s="57" t="s">
        <v>127</v>
      </c>
      <c r="D38" s="439" t="s">
        <v>301</v>
      </c>
      <c r="E38" s="38" t="s">
        <v>1448</v>
      </c>
      <c r="F38" s="456" t="s">
        <v>1235</v>
      </c>
      <c r="G38" s="57" t="s">
        <v>57</v>
      </c>
      <c r="H38" s="38" t="s">
        <v>1436</v>
      </c>
      <c r="I38" s="38" t="s">
        <v>1440</v>
      </c>
      <c r="J38" s="40" t="s">
        <v>1223</v>
      </c>
      <c r="K38" s="79" t="s">
        <v>1379</v>
      </c>
      <c r="L38" s="73"/>
      <c r="M38" s="73"/>
      <c r="N38" s="74"/>
    </row>
    <row r="39" spans="1:14" ht="17.45" customHeight="1">
      <c r="A39" s="615"/>
      <c r="B39" s="37" t="s">
        <v>1452</v>
      </c>
      <c r="C39" s="435" t="s">
        <v>1316</v>
      </c>
      <c r="D39" s="467" t="s">
        <v>1228</v>
      </c>
      <c r="E39" s="38" t="s">
        <v>189</v>
      </c>
      <c r="F39" s="452" t="s">
        <v>1738</v>
      </c>
      <c r="G39" s="58" t="s">
        <v>715</v>
      </c>
      <c r="H39" s="38" t="s">
        <v>1439</v>
      </c>
      <c r="I39" s="38" t="s">
        <v>1447</v>
      </c>
      <c r="J39" s="38" t="s">
        <v>1136</v>
      </c>
      <c r="K39" s="79" t="s">
        <v>1287</v>
      </c>
      <c r="L39" s="73"/>
      <c r="M39" s="73"/>
      <c r="N39" s="74"/>
    </row>
    <row r="40" spans="1:14" ht="17.45" customHeight="1">
      <c r="A40" s="615"/>
      <c r="B40" s="37" t="s">
        <v>1455</v>
      </c>
      <c r="C40" s="456" t="s">
        <v>1272</v>
      </c>
      <c r="D40" s="440" t="s">
        <v>42</v>
      </c>
      <c r="E40" s="38" t="s">
        <v>1456</v>
      </c>
      <c r="F40" s="39" t="s">
        <v>1206</v>
      </c>
      <c r="G40" s="57" t="s">
        <v>89</v>
      </c>
      <c r="H40" s="38" t="s">
        <v>1221</v>
      </c>
      <c r="I40" s="38" t="s">
        <v>1450</v>
      </c>
      <c r="J40" s="38" t="s">
        <v>1187</v>
      </c>
      <c r="K40" s="79" t="s">
        <v>1260</v>
      </c>
      <c r="L40" s="73"/>
      <c r="M40" s="73"/>
      <c r="N40" s="74"/>
    </row>
    <row r="41" spans="1:14" ht="17.45" customHeight="1">
      <c r="A41" s="615"/>
      <c r="B41" s="37" t="s">
        <v>1169</v>
      </c>
      <c r="C41" s="57" t="s">
        <v>147</v>
      </c>
      <c r="D41" s="441" t="s">
        <v>1460</v>
      </c>
      <c r="E41" s="38" t="s">
        <v>1458</v>
      </c>
      <c r="F41" s="39" t="s">
        <v>1531</v>
      </c>
      <c r="G41" s="38" t="s">
        <v>1117</v>
      </c>
      <c r="H41" s="38" t="s">
        <v>1446</v>
      </c>
      <c r="I41" s="38" t="s">
        <v>1454</v>
      </c>
      <c r="J41" s="44" t="s">
        <v>1490</v>
      </c>
      <c r="K41" s="79" t="s">
        <v>1232</v>
      </c>
      <c r="L41" s="73"/>
      <c r="M41" s="73"/>
      <c r="N41" s="74"/>
    </row>
    <row r="42" spans="1:14" ht="17.45" customHeight="1">
      <c r="A42" s="615"/>
      <c r="B42" s="37" t="s">
        <v>1459</v>
      </c>
      <c r="C42" s="57" t="s">
        <v>102</v>
      </c>
      <c r="D42" s="38" t="s">
        <v>1257</v>
      </c>
      <c r="E42" s="40" t="s">
        <v>1192</v>
      </c>
      <c r="F42" s="435" t="s">
        <v>1546</v>
      </c>
      <c r="G42" s="38" t="s">
        <v>1103</v>
      </c>
      <c r="H42" s="38" t="s">
        <v>1449</v>
      </c>
      <c r="I42" s="38" t="s">
        <v>1457</v>
      </c>
      <c r="J42" s="42" t="s">
        <v>1185</v>
      </c>
      <c r="K42" s="80" t="s">
        <v>1186</v>
      </c>
      <c r="L42" s="73"/>
      <c r="M42" s="73"/>
      <c r="N42" s="74"/>
    </row>
    <row r="43" spans="1:14" ht="17.45" customHeight="1">
      <c r="A43" s="615"/>
      <c r="B43" s="37" t="s">
        <v>1461</v>
      </c>
      <c r="C43" s="62" t="s">
        <v>842</v>
      </c>
      <c r="D43" s="59" t="s">
        <v>1751</v>
      </c>
      <c r="E43" s="57" t="s">
        <v>90</v>
      </c>
      <c r="F43" s="38" t="s">
        <v>1222</v>
      </c>
      <c r="G43" s="62" t="s">
        <v>736</v>
      </c>
      <c r="H43" s="38" t="s">
        <v>1453</v>
      </c>
      <c r="I43" s="57" t="s">
        <v>90</v>
      </c>
      <c r="J43" s="44" t="s">
        <v>1229</v>
      </c>
      <c r="K43" s="88" t="s">
        <v>234</v>
      </c>
      <c r="L43" s="73"/>
      <c r="M43" s="73"/>
      <c r="N43" s="74"/>
    </row>
    <row r="44" spans="1:14" ht="17.45" customHeight="1">
      <c r="A44" s="615"/>
      <c r="B44" s="45" t="s">
        <v>1288</v>
      </c>
      <c r="C44" s="62" t="s">
        <v>1501</v>
      </c>
      <c r="D44" s="46" t="s">
        <v>1766</v>
      </c>
      <c r="E44" s="58" t="s">
        <v>1471</v>
      </c>
      <c r="F44" s="443" t="s">
        <v>1586</v>
      </c>
      <c r="G44" s="58" t="s">
        <v>398</v>
      </c>
      <c r="H44" s="40" t="s">
        <v>1219</v>
      </c>
      <c r="I44" s="57" t="s">
        <v>127</v>
      </c>
      <c r="J44" s="44" t="s">
        <v>1108</v>
      </c>
      <c r="K44" s="77" t="s">
        <v>1396</v>
      </c>
      <c r="L44" s="73"/>
      <c r="M44" s="73"/>
      <c r="N44" s="74"/>
    </row>
    <row r="45" spans="1:14" ht="17.45" customHeight="1">
      <c r="A45" s="615"/>
      <c r="B45" s="45" t="s">
        <v>1193</v>
      </c>
      <c r="C45" s="46" t="s">
        <v>1786</v>
      </c>
      <c r="D45" s="46" t="s">
        <v>1676</v>
      </c>
      <c r="E45" s="58" t="s">
        <v>1318</v>
      </c>
      <c r="F45" s="59" t="s">
        <v>1563</v>
      </c>
      <c r="G45" s="38" t="s">
        <v>1496</v>
      </c>
      <c r="H45" s="40" t="s">
        <v>1492</v>
      </c>
      <c r="I45" s="57" t="s">
        <v>77</v>
      </c>
      <c r="J45" s="38" t="s">
        <v>1303</v>
      </c>
      <c r="K45" s="77" t="s">
        <v>1398</v>
      </c>
      <c r="L45" s="73"/>
      <c r="M45" s="73"/>
      <c r="N45" s="74"/>
    </row>
    <row r="46" spans="1:14" ht="17.45" customHeight="1">
      <c r="A46" s="615"/>
      <c r="B46" s="404" t="s">
        <v>1122</v>
      </c>
      <c r="C46" s="46" t="s">
        <v>1663</v>
      </c>
      <c r="D46" s="46" t="s">
        <v>1710</v>
      </c>
      <c r="E46" s="456" t="s">
        <v>1269</v>
      </c>
      <c r="F46" s="46" t="s">
        <v>1627</v>
      </c>
      <c r="G46" s="43" t="s">
        <v>1144</v>
      </c>
      <c r="H46" s="40" t="s">
        <v>1161</v>
      </c>
      <c r="I46" s="87" t="s">
        <v>1124</v>
      </c>
      <c r="J46" s="58" t="s">
        <v>736</v>
      </c>
      <c r="K46" s="77" t="s">
        <v>205</v>
      </c>
      <c r="L46" s="73"/>
      <c r="M46" s="73"/>
      <c r="N46" s="74"/>
    </row>
    <row r="47" spans="1:14" ht="17.45" customHeight="1">
      <c r="A47" s="615"/>
      <c r="B47" s="405" t="s">
        <v>1493</v>
      </c>
      <c r="C47" s="46" t="s">
        <v>1696</v>
      </c>
      <c r="D47" s="452" t="s">
        <v>1428</v>
      </c>
      <c r="E47" s="456" t="s">
        <v>1140</v>
      </c>
      <c r="F47" s="46" t="s">
        <v>1690</v>
      </c>
      <c r="G47" s="44" t="s">
        <v>1138</v>
      </c>
      <c r="H47" s="57" t="s">
        <v>79</v>
      </c>
      <c r="I47" s="44" t="s">
        <v>159</v>
      </c>
      <c r="J47" s="38" t="s">
        <v>1270</v>
      </c>
      <c r="K47" s="457" t="s">
        <v>1271</v>
      </c>
      <c r="L47" s="73"/>
      <c r="M47" s="73"/>
      <c r="N47" s="74"/>
    </row>
    <row r="48" spans="1:14" ht="17.45" customHeight="1">
      <c r="A48" s="615"/>
      <c r="B48" s="56" t="s">
        <v>77</v>
      </c>
      <c r="C48" s="46" t="s">
        <v>1720</v>
      </c>
      <c r="D48" s="442" t="s">
        <v>864</v>
      </c>
      <c r="E48" s="57" t="s">
        <v>1550</v>
      </c>
      <c r="F48" s="41" t="s">
        <v>864</v>
      </c>
      <c r="G48" s="44" t="s">
        <v>1106</v>
      </c>
      <c r="H48" s="58" t="s">
        <v>398</v>
      </c>
      <c r="I48" s="62" t="s">
        <v>842</v>
      </c>
      <c r="J48" s="456" t="s">
        <v>1535</v>
      </c>
      <c r="K48" s="457" t="s">
        <v>1237</v>
      </c>
      <c r="L48" s="73"/>
      <c r="M48" s="73"/>
      <c r="N48" s="74"/>
    </row>
    <row r="49" spans="1:14" ht="17.45" customHeight="1">
      <c r="A49" s="615"/>
      <c r="B49" s="47" t="s">
        <v>825</v>
      </c>
      <c r="C49" s="46" t="s">
        <v>1729</v>
      </c>
      <c r="D49" s="442" t="s">
        <v>864</v>
      </c>
      <c r="E49" s="443" t="s">
        <v>1772</v>
      </c>
      <c r="F49" s="41" t="s">
        <v>864</v>
      </c>
      <c r="G49" s="59" t="s">
        <v>696</v>
      </c>
      <c r="H49" s="62" t="s">
        <v>816</v>
      </c>
      <c r="I49" s="43" t="s">
        <v>1144</v>
      </c>
      <c r="J49" s="44" t="s">
        <v>1488</v>
      </c>
      <c r="K49" s="168" t="s">
        <v>1322</v>
      </c>
      <c r="L49" s="73"/>
      <c r="M49" s="73"/>
      <c r="N49" s="74"/>
    </row>
    <row r="50" spans="1:14" ht="17.45" customHeight="1" thickBot="1">
      <c r="A50" s="615"/>
      <c r="B50" s="47" t="s">
        <v>1463</v>
      </c>
      <c r="C50" s="58" t="s">
        <v>1500</v>
      </c>
      <c r="D50" s="442" t="s">
        <v>864</v>
      </c>
      <c r="E50" s="46" t="s">
        <v>1632</v>
      </c>
      <c r="F50" s="41" t="s">
        <v>864</v>
      </c>
      <c r="G50" s="58" t="s">
        <v>1464</v>
      </c>
      <c r="H50" s="43" t="s">
        <v>1462</v>
      </c>
      <c r="I50" s="89" t="s">
        <v>1319</v>
      </c>
      <c r="J50" s="46" t="s">
        <v>1616</v>
      </c>
      <c r="K50" s="168" t="s">
        <v>898</v>
      </c>
      <c r="L50" s="73"/>
      <c r="M50" s="73"/>
      <c r="N50" s="74"/>
    </row>
    <row r="51" spans="1:14" ht="17.45" customHeight="1">
      <c r="A51" s="615"/>
      <c r="B51" s="68" t="s">
        <v>1171</v>
      </c>
      <c r="C51" s="59" t="s">
        <v>667</v>
      </c>
      <c r="D51" s="442" t="s">
        <v>864</v>
      </c>
      <c r="E51" s="186" t="s">
        <v>1653</v>
      </c>
      <c r="F51" s="41" t="s">
        <v>864</v>
      </c>
      <c r="G51" s="38" t="s">
        <v>1395</v>
      </c>
      <c r="H51" s="43" t="s">
        <v>1227</v>
      </c>
      <c r="I51" s="62" t="s">
        <v>1321</v>
      </c>
      <c r="J51" s="41" t="s">
        <v>864</v>
      </c>
      <c r="K51" s="168" t="s">
        <v>1526</v>
      </c>
      <c r="L51" s="73"/>
      <c r="M51" s="73"/>
      <c r="N51" s="74"/>
    </row>
    <row r="52" spans="1:14" ht="17.45" customHeight="1">
      <c r="A52" s="615"/>
      <c r="B52" s="37" t="s">
        <v>1233</v>
      </c>
      <c r="C52" s="443" t="s">
        <v>1772</v>
      </c>
      <c r="D52" s="442" t="s">
        <v>864</v>
      </c>
      <c r="E52" s="57" t="s">
        <v>1664</v>
      </c>
      <c r="F52" s="41" t="s">
        <v>864</v>
      </c>
      <c r="G52" s="40" t="s">
        <v>1236</v>
      </c>
      <c r="H52" s="42" t="s">
        <v>1101</v>
      </c>
      <c r="I52" s="62" t="s">
        <v>1322</v>
      </c>
      <c r="J52" s="41" t="s">
        <v>864</v>
      </c>
      <c r="K52" s="59" t="s">
        <v>732</v>
      </c>
      <c r="L52" s="73"/>
      <c r="M52" s="73"/>
      <c r="N52" s="74"/>
    </row>
    <row r="53" spans="1:14" ht="17.45" customHeight="1">
      <c r="A53" s="615"/>
      <c r="B53" s="63" t="s">
        <v>669</v>
      </c>
      <c r="C53" s="41" t="s">
        <v>864</v>
      </c>
      <c r="D53" s="442" t="s">
        <v>864</v>
      </c>
      <c r="E53" s="46" t="s">
        <v>1684</v>
      </c>
      <c r="F53" s="41" t="s">
        <v>864</v>
      </c>
      <c r="G53" s="38" t="s">
        <v>1087</v>
      </c>
      <c r="H53" s="42" t="s">
        <v>1264</v>
      </c>
      <c r="I53" s="456" t="s">
        <v>1268</v>
      </c>
      <c r="J53" s="41" t="s">
        <v>864</v>
      </c>
      <c r="K53" s="46" t="s">
        <v>1777</v>
      </c>
      <c r="L53" s="73"/>
      <c r="M53" s="73"/>
      <c r="N53" s="74"/>
    </row>
    <row r="54" spans="1:14" ht="17.45" customHeight="1">
      <c r="A54" s="615"/>
      <c r="B54" s="64" t="s">
        <v>1476</v>
      </c>
      <c r="C54" s="41" t="s">
        <v>864</v>
      </c>
      <c r="D54" s="442" t="s">
        <v>864</v>
      </c>
      <c r="E54" s="46" t="s">
        <v>1702</v>
      </c>
      <c r="F54" s="41" t="s">
        <v>864</v>
      </c>
      <c r="G54" s="57" t="s">
        <v>147</v>
      </c>
      <c r="H54" s="42" t="s">
        <v>1485</v>
      </c>
      <c r="I54" s="456" t="s">
        <v>1102</v>
      </c>
      <c r="J54" s="41" t="s">
        <v>864</v>
      </c>
      <c r="K54" s="90" t="s">
        <v>864</v>
      </c>
      <c r="L54" s="73"/>
      <c r="M54" s="73"/>
      <c r="N54" s="74"/>
    </row>
    <row r="55" spans="1:14" ht="17.45" customHeight="1">
      <c r="A55" s="615"/>
      <c r="B55" s="451" t="s">
        <v>1170</v>
      </c>
      <c r="C55" s="41" t="s">
        <v>864</v>
      </c>
      <c r="D55" s="442" t="s">
        <v>864</v>
      </c>
      <c r="E55" s="46" t="s">
        <v>1765</v>
      </c>
      <c r="F55" s="41" t="s">
        <v>864</v>
      </c>
      <c r="G55" s="57" t="s">
        <v>1550</v>
      </c>
      <c r="H55" s="62" t="s">
        <v>1527</v>
      </c>
      <c r="I55" s="452" t="s">
        <v>1188</v>
      </c>
      <c r="J55" s="41" t="s">
        <v>864</v>
      </c>
      <c r="K55" s="90" t="s">
        <v>864</v>
      </c>
      <c r="L55" s="73"/>
      <c r="M55" s="73"/>
      <c r="N55" s="74"/>
    </row>
    <row r="56" spans="1:14" ht="18" customHeight="1">
      <c r="A56" s="615"/>
      <c r="B56" s="56" t="s">
        <v>1553</v>
      </c>
      <c r="C56" s="41" t="s">
        <v>864</v>
      </c>
      <c r="D56" s="442" t="s">
        <v>864</v>
      </c>
      <c r="E56" s="41" t="s">
        <v>864</v>
      </c>
      <c r="F56" s="41" t="s">
        <v>864</v>
      </c>
      <c r="G56" s="57" t="s">
        <v>1756</v>
      </c>
      <c r="H56" s="435" t="s">
        <v>1605</v>
      </c>
      <c r="I56" s="57" t="s">
        <v>102</v>
      </c>
      <c r="J56" s="41" t="s">
        <v>864</v>
      </c>
      <c r="K56" s="90" t="s">
        <v>864</v>
      </c>
      <c r="L56" s="73"/>
      <c r="M56" s="73"/>
      <c r="N56" s="74"/>
    </row>
    <row r="57" spans="1:14" ht="17.100000000000001" customHeight="1" thickBot="1">
      <c r="A57" s="615"/>
      <c r="B57" s="57" t="s">
        <v>1756</v>
      </c>
      <c r="C57" s="41" t="s">
        <v>864</v>
      </c>
      <c r="D57" s="442" t="s">
        <v>864</v>
      </c>
      <c r="E57" s="41" t="s">
        <v>864</v>
      </c>
      <c r="F57" s="41" t="s">
        <v>864</v>
      </c>
      <c r="G57" s="59" t="s">
        <v>924</v>
      </c>
      <c r="H57" s="456" t="s">
        <v>1231</v>
      </c>
      <c r="I57" s="38" t="s">
        <v>1300</v>
      </c>
      <c r="J57" s="41" t="s">
        <v>864</v>
      </c>
      <c r="K57" s="90" t="s">
        <v>864</v>
      </c>
      <c r="L57" s="73"/>
      <c r="M57" s="73"/>
      <c r="N57" s="74"/>
    </row>
    <row r="58" spans="1:14" ht="17.45" customHeight="1">
      <c r="A58" s="615"/>
      <c r="B58" s="36" t="s">
        <v>1403</v>
      </c>
      <c r="C58" s="41" t="s">
        <v>864</v>
      </c>
      <c r="D58" s="442" t="s">
        <v>864</v>
      </c>
      <c r="E58" s="41" t="s">
        <v>864</v>
      </c>
      <c r="F58" s="41" t="s">
        <v>864</v>
      </c>
      <c r="G58" s="46" t="s">
        <v>1610</v>
      </c>
      <c r="H58" s="57" t="s">
        <v>42</v>
      </c>
      <c r="I58" s="44" t="s">
        <v>1234</v>
      </c>
      <c r="J58" s="41" t="s">
        <v>864</v>
      </c>
      <c r="K58" s="90" t="s">
        <v>864</v>
      </c>
      <c r="L58" s="73"/>
      <c r="M58" s="73"/>
      <c r="N58" s="74"/>
    </row>
    <row r="59" spans="1:14" ht="17.45" customHeight="1">
      <c r="A59" s="615"/>
      <c r="B59" s="443" t="s">
        <v>1585</v>
      </c>
      <c r="C59" s="41" t="s">
        <v>864</v>
      </c>
      <c r="D59" s="41" t="s">
        <v>864</v>
      </c>
      <c r="E59" s="41" t="s">
        <v>864</v>
      </c>
      <c r="F59" s="41" t="s">
        <v>864</v>
      </c>
      <c r="G59" s="42" t="s">
        <v>1611</v>
      </c>
      <c r="H59" s="456" t="s">
        <v>1105</v>
      </c>
      <c r="I59" s="38" t="s">
        <v>1162</v>
      </c>
      <c r="J59" s="41" t="s">
        <v>864</v>
      </c>
      <c r="K59" s="90" t="s">
        <v>864</v>
      </c>
      <c r="L59" s="73"/>
      <c r="M59" s="73"/>
      <c r="N59" s="74"/>
    </row>
    <row r="60" spans="1:14" ht="17.45" customHeight="1" thickBot="1">
      <c r="A60" s="615"/>
      <c r="B60" s="37" t="s">
        <v>1187</v>
      </c>
      <c r="C60" s="41" t="s">
        <v>864</v>
      </c>
      <c r="D60" s="41" t="s">
        <v>864</v>
      </c>
      <c r="E60" s="41" t="s">
        <v>864</v>
      </c>
      <c r="F60" s="41" t="s">
        <v>864</v>
      </c>
      <c r="G60" s="46" t="s">
        <v>1637</v>
      </c>
      <c r="H60" s="456" t="s">
        <v>1273</v>
      </c>
      <c r="I60" s="46" t="s">
        <v>1638</v>
      </c>
      <c r="J60" s="41" t="s">
        <v>864</v>
      </c>
      <c r="K60" s="90" t="s">
        <v>864</v>
      </c>
      <c r="L60" s="73"/>
      <c r="M60" s="73"/>
      <c r="N60" s="74"/>
    </row>
    <row r="61" spans="1:14" ht="17.45" customHeight="1" thickBot="1">
      <c r="A61" s="615"/>
      <c r="B61" s="57" t="s">
        <v>1664</v>
      </c>
      <c r="C61" s="41" t="s">
        <v>864</v>
      </c>
      <c r="D61" s="41" t="s">
        <v>864</v>
      </c>
      <c r="E61" s="41" t="s">
        <v>864</v>
      </c>
      <c r="F61" s="41" t="s">
        <v>864</v>
      </c>
      <c r="G61" s="448" t="s">
        <v>1648</v>
      </c>
      <c r="H61" s="456" t="s">
        <v>1274</v>
      </c>
      <c r="I61" s="46" t="s">
        <v>1669</v>
      </c>
      <c r="J61" s="41" t="s">
        <v>864</v>
      </c>
      <c r="K61" s="90" t="s">
        <v>864</v>
      </c>
      <c r="L61" s="73"/>
      <c r="M61" s="73"/>
      <c r="N61" s="74"/>
    </row>
    <row r="62" spans="1:14" ht="17.45" customHeight="1">
      <c r="A62" s="615"/>
      <c r="B62" s="37" t="s">
        <v>1317</v>
      </c>
      <c r="C62" s="41" t="s">
        <v>864</v>
      </c>
      <c r="D62" s="41" t="s">
        <v>864</v>
      </c>
      <c r="E62" s="41" t="s">
        <v>864</v>
      </c>
      <c r="F62" s="41" t="s">
        <v>864</v>
      </c>
      <c r="G62" s="41" t="s">
        <v>864</v>
      </c>
      <c r="H62" s="456" t="s">
        <v>1120</v>
      </c>
      <c r="I62" s="41" t="s">
        <v>864</v>
      </c>
      <c r="J62" s="41" t="s">
        <v>864</v>
      </c>
      <c r="K62" s="90" t="s">
        <v>864</v>
      </c>
      <c r="L62" s="73"/>
      <c r="M62" s="73"/>
      <c r="N62" s="74"/>
    </row>
    <row r="63" spans="1:14" ht="17.45" customHeight="1">
      <c r="A63" s="615"/>
      <c r="B63" s="69" t="s">
        <v>864</v>
      </c>
      <c r="C63" s="41" t="s">
        <v>864</v>
      </c>
      <c r="D63" s="41" t="s">
        <v>864</v>
      </c>
      <c r="E63" s="41" t="s">
        <v>864</v>
      </c>
      <c r="F63" s="41" t="s">
        <v>864</v>
      </c>
      <c r="G63" s="41" t="s">
        <v>864</v>
      </c>
      <c r="H63" s="452" t="s">
        <v>1191</v>
      </c>
      <c r="I63" s="41" t="s">
        <v>864</v>
      </c>
      <c r="J63" s="41" t="s">
        <v>864</v>
      </c>
      <c r="K63" s="90" t="s">
        <v>864</v>
      </c>
      <c r="L63" s="73"/>
      <c r="M63" s="73"/>
      <c r="N63" s="74"/>
    </row>
    <row r="64" spans="1:14" ht="17.45" customHeight="1">
      <c r="A64" s="615"/>
      <c r="B64" s="69" t="s">
        <v>864</v>
      </c>
      <c r="C64" s="41" t="s">
        <v>864</v>
      </c>
      <c r="D64" s="41" t="s">
        <v>864</v>
      </c>
      <c r="E64" s="41" t="s">
        <v>864</v>
      </c>
      <c r="F64" s="41" t="s">
        <v>864</v>
      </c>
      <c r="G64" s="41" t="s">
        <v>864</v>
      </c>
      <c r="H64" s="456" t="s">
        <v>1486</v>
      </c>
      <c r="I64" s="41" t="s">
        <v>864</v>
      </c>
      <c r="J64" s="41" t="s">
        <v>864</v>
      </c>
      <c r="K64" s="90" t="s">
        <v>864</v>
      </c>
      <c r="L64" s="73"/>
      <c r="M64" s="73"/>
      <c r="N64" s="74"/>
    </row>
    <row r="65" spans="1:14" ht="17.45" customHeight="1">
      <c r="A65" s="615"/>
      <c r="B65" s="69" t="s">
        <v>864</v>
      </c>
      <c r="C65" s="41" t="s">
        <v>864</v>
      </c>
      <c r="D65" s="41" t="s">
        <v>864</v>
      </c>
      <c r="E65" s="41" t="s">
        <v>864</v>
      </c>
      <c r="F65" s="41" t="s">
        <v>864</v>
      </c>
      <c r="G65" s="41" t="s">
        <v>864</v>
      </c>
      <c r="H65" s="59" t="s">
        <v>688</v>
      </c>
      <c r="I65" s="41" t="s">
        <v>864</v>
      </c>
      <c r="J65" s="41" t="s">
        <v>864</v>
      </c>
      <c r="K65" s="90" t="s">
        <v>864</v>
      </c>
      <c r="L65" s="73"/>
      <c r="M65" s="73"/>
      <c r="N65" s="74"/>
    </row>
    <row r="66" spans="1:14" ht="18" customHeight="1">
      <c r="A66" s="615"/>
      <c r="B66" s="69" t="s">
        <v>864</v>
      </c>
      <c r="C66" s="41" t="s">
        <v>864</v>
      </c>
      <c r="D66" s="41" t="s">
        <v>864</v>
      </c>
      <c r="E66" s="41" t="s">
        <v>864</v>
      </c>
      <c r="F66" s="41" t="s">
        <v>864</v>
      </c>
      <c r="G66" s="41" t="s">
        <v>864</v>
      </c>
      <c r="H66" s="56" t="s">
        <v>1553</v>
      </c>
      <c r="I66" s="41" t="s">
        <v>864</v>
      </c>
      <c r="J66" s="41" t="s">
        <v>864</v>
      </c>
      <c r="K66" s="90" t="s">
        <v>864</v>
      </c>
      <c r="L66" s="73"/>
      <c r="M66" s="73"/>
      <c r="N66" s="74"/>
    </row>
    <row r="67" spans="1:14" ht="17.45" customHeight="1">
      <c r="A67" s="615"/>
      <c r="B67" s="69" t="s">
        <v>864</v>
      </c>
      <c r="C67" s="41" t="s">
        <v>864</v>
      </c>
      <c r="D67" s="41" t="s">
        <v>864</v>
      </c>
      <c r="E67" s="41" t="s">
        <v>864</v>
      </c>
      <c r="F67" s="41" t="s">
        <v>864</v>
      </c>
      <c r="G67" s="41" t="s">
        <v>864</v>
      </c>
      <c r="H67" s="62" t="s">
        <v>728</v>
      </c>
      <c r="I67" s="41" t="s">
        <v>864</v>
      </c>
      <c r="J67" s="41" t="s">
        <v>864</v>
      </c>
      <c r="K67" s="90" t="s">
        <v>864</v>
      </c>
      <c r="L67" s="73"/>
      <c r="M67" s="73"/>
      <c r="N67" s="74"/>
    </row>
    <row r="68" spans="1:14" ht="17.45" customHeight="1">
      <c r="A68" s="615"/>
      <c r="B68" s="69" t="s">
        <v>864</v>
      </c>
      <c r="C68" s="41" t="s">
        <v>864</v>
      </c>
      <c r="D68" s="41" t="s">
        <v>864</v>
      </c>
      <c r="E68" s="41" t="s">
        <v>864</v>
      </c>
      <c r="F68" s="41" t="s">
        <v>864</v>
      </c>
      <c r="G68" s="41" t="s">
        <v>864</v>
      </c>
      <c r="H68" s="59" t="s">
        <v>1097</v>
      </c>
      <c r="I68" s="41" t="s">
        <v>864</v>
      </c>
      <c r="J68" s="41" t="s">
        <v>864</v>
      </c>
      <c r="K68" s="90" t="s">
        <v>864</v>
      </c>
      <c r="L68" s="73"/>
      <c r="M68" s="73"/>
      <c r="N68" s="74"/>
    </row>
    <row r="69" spans="1:14" ht="17.45" customHeight="1">
      <c r="A69" s="615"/>
      <c r="B69" s="69" t="s">
        <v>864</v>
      </c>
      <c r="C69" s="41" t="s">
        <v>864</v>
      </c>
      <c r="D69" s="41" t="s">
        <v>864</v>
      </c>
      <c r="E69" s="41" t="s">
        <v>864</v>
      </c>
      <c r="F69" s="41" t="s">
        <v>864</v>
      </c>
      <c r="G69" s="41" t="s">
        <v>864</v>
      </c>
      <c r="H69" s="46" t="s">
        <v>1794</v>
      </c>
      <c r="I69" s="41" t="s">
        <v>864</v>
      </c>
      <c r="J69" s="41" t="s">
        <v>864</v>
      </c>
      <c r="K69" s="90" t="s">
        <v>864</v>
      </c>
      <c r="L69" s="73"/>
      <c r="M69" s="73"/>
      <c r="N69" s="74"/>
    </row>
    <row r="70" spans="1:14" ht="17.45" customHeight="1">
      <c r="A70" s="615"/>
      <c r="B70" s="69" t="s">
        <v>864</v>
      </c>
      <c r="C70" s="41" t="s">
        <v>864</v>
      </c>
      <c r="D70" s="41" t="s">
        <v>864</v>
      </c>
      <c r="E70" s="41" t="s">
        <v>864</v>
      </c>
      <c r="F70" s="41" t="s">
        <v>864</v>
      </c>
      <c r="G70" s="41" t="s">
        <v>864</v>
      </c>
      <c r="H70" s="46" t="s">
        <v>1622</v>
      </c>
      <c r="I70" s="41" t="s">
        <v>864</v>
      </c>
      <c r="J70" s="41" t="s">
        <v>864</v>
      </c>
      <c r="K70" s="90" t="s">
        <v>864</v>
      </c>
      <c r="L70" s="73"/>
      <c r="M70" s="73"/>
      <c r="N70" s="74"/>
    </row>
    <row r="71" spans="1:14" ht="17.45" customHeight="1">
      <c r="A71" s="615"/>
      <c r="B71" s="69" t="s">
        <v>864</v>
      </c>
      <c r="C71" s="41" t="s">
        <v>864</v>
      </c>
      <c r="D71" s="41" t="s">
        <v>864</v>
      </c>
      <c r="E71" s="41" t="s">
        <v>864</v>
      </c>
      <c r="F71" s="41" t="s">
        <v>864</v>
      </c>
      <c r="G71" s="41" t="s">
        <v>864</v>
      </c>
      <c r="H71" s="46" t="s">
        <v>1643</v>
      </c>
      <c r="I71" s="41" t="s">
        <v>864</v>
      </c>
      <c r="J71" s="41" t="s">
        <v>864</v>
      </c>
      <c r="K71" s="90" t="s">
        <v>864</v>
      </c>
      <c r="L71" s="73"/>
      <c r="M71" s="73"/>
      <c r="N71" s="74"/>
    </row>
    <row r="72" spans="1:14" ht="17.45" customHeight="1">
      <c r="A72" s="615"/>
      <c r="B72" s="69" t="s">
        <v>864</v>
      </c>
      <c r="C72" s="41" t="s">
        <v>864</v>
      </c>
      <c r="D72" s="41" t="s">
        <v>864</v>
      </c>
      <c r="E72" s="41" t="s">
        <v>864</v>
      </c>
      <c r="F72" s="41" t="s">
        <v>864</v>
      </c>
      <c r="G72" s="41" t="s">
        <v>864</v>
      </c>
      <c r="H72" s="38" t="s">
        <v>1414</v>
      </c>
      <c r="I72" s="41" t="s">
        <v>864</v>
      </c>
      <c r="J72" s="41" t="s">
        <v>864</v>
      </c>
      <c r="K72" s="90" t="s">
        <v>864</v>
      </c>
      <c r="L72" s="73"/>
      <c r="M72" s="73"/>
      <c r="N72" s="74"/>
    </row>
    <row r="73" spans="1:14" ht="17.45" customHeight="1">
      <c r="A73" s="615"/>
      <c r="B73" s="69" t="s">
        <v>864</v>
      </c>
      <c r="C73" s="41" t="s">
        <v>864</v>
      </c>
      <c r="D73" s="41" t="s">
        <v>864</v>
      </c>
      <c r="E73" s="41" t="s">
        <v>864</v>
      </c>
      <c r="F73" s="41" t="s">
        <v>864</v>
      </c>
      <c r="G73" s="41" t="s">
        <v>864</v>
      </c>
      <c r="H73" s="41" t="s">
        <v>864</v>
      </c>
      <c r="I73" s="41" t="s">
        <v>864</v>
      </c>
      <c r="J73" s="41" t="s">
        <v>864</v>
      </c>
      <c r="K73" s="90" t="s">
        <v>864</v>
      </c>
      <c r="L73" s="73"/>
      <c r="M73" s="73"/>
      <c r="N73" s="74"/>
    </row>
    <row r="74" spans="1:14" ht="17.45" customHeight="1">
      <c r="A74" s="615"/>
      <c r="B74" s="69" t="s">
        <v>864</v>
      </c>
      <c r="C74" s="41" t="s">
        <v>864</v>
      </c>
      <c r="D74" s="41" t="s">
        <v>864</v>
      </c>
      <c r="E74" s="41" t="s">
        <v>864</v>
      </c>
      <c r="F74" s="41" t="s">
        <v>864</v>
      </c>
      <c r="G74" s="41" t="s">
        <v>864</v>
      </c>
      <c r="H74" s="41" t="s">
        <v>864</v>
      </c>
      <c r="I74" s="41" t="s">
        <v>864</v>
      </c>
      <c r="J74" s="41" t="s">
        <v>864</v>
      </c>
      <c r="K74" s="90" t="s">
        <v>864</v>
      </c>
      <c r="L74" s="73"/>
      <c r="M74" s="73"/>
      <c r="N74" s="74"/>
    </row>
    <row r="75" spans="1:14" ht="17.45" customHeight="1">
      <c r="A75" s="615"/>
      <c r="B75" s="69" t="s">
        <v>864</v>
      </c>
      <c r="C75" s="41" t="s">
        <v>864</v>
      </c>
      <c r="D75" s="41" t="s">
        <v>864</v>
      </c>
      <c r="E75" s="41" t="s">
        <v>864</v>
      </c>
      <c r="F75" s="41" t="s">
        <v>864</v>
      </c>
      <c r="G75" s="41" t="s">
        <v>864</v>
      </c>
      <c r="H75" s="41" t="s">
        <v>864</v>
      </c>
      <c r="I75" s="41" t="s">
        <v>864</v>
      </c>
      <c r="J75" s="41" t="s">
        <v>864</v>
      </c>
      <c r="K75" s="90" t="s">
        <v>864</v>
      </c>
      <c r="L75" s="73"/>
      <c r="M75" s="73"/>
      <c r="N75" s="74"/>
    </row>
    <row r="76" spans="1:14" ht="17.45" customHeight="1">
      <c r="A76" s="615"/>
      <c r="B76" s="69" t="s">
        <v>864</v>
      </c>
      <c r="C76" s="41" t="s">
        <v>864</v>
      </c>
      <c r="D76" s="41" t="s">
        <v>864</v>
      </c>
      <c r="E76" s="41" t="s">
        <v>864</v>
      </c>
      <c r="F76" s="41" t="s">
        <v>864</v>
      </c>
      <c r="G76" s="41" t="s">
        <v>864</v>
      </c>
      <c r="H76" s="41" t="s">
        <v>864</v>
      </c>
      <c r="I76" s="41" t="s">
        <v>864</v>
      </c>
      <c r="J76" s="41" t="s">
        <v>864</v>
      </c>
      <c r="K76" s="90" t="s">
        <v>864</v>
      </c>
      <c r="L76" s="73"/>
      <c r="M76" s="73"/>
      <c r="N76" s="74"/>
    </row>
    <row r="77" spans="1:14" ht="17.45" customHeight="1">
      <c r="A77" s="615"/>
      <c r="B77" s="69" t="s">
        <v>864</v>
      </c>
      <c r="C77" s="41" t="s">
        <v>864</v>
      </c>
      <c r="D77" s="41" t="s">
        <v>864</v>
      </c>
      <c r="E77" s="41" t="s">
        <v>864</v>
      </c>
      <c r="F77" s="41" t="s">
        <v>864</v>
      </c>
      <c r="G77" s="41" t="s">
        <v>864</v>
      </c>
      <c r="H77" s="41" t="s">
        <v>864</v>
      </c>
      <c r="I77" s="41" t="s">
        <v>864</v>
      </c>
      <c r="J77" s="41" t="s">
        <v>864</v>
      </c>
      <c r="K77" s="90" t="s">
        <v>864</v>
      </c>
      <c r="L77" s="73"/>
      <c r="M77" s="73"/>
      <c r="N77" s="74"/>
    </row>
    <row r="78" spans="1:14" ht="17.45" customHeight="1" thickBot="1">
      <c r="A78" s="615"/>
      <c r="B78" s="52" t="s">
        <v>864</v>
      </c>
      <c r="C78" s="53" t="s">
        <v>864</v>
      </c>
      <c r="D78" s="53" t="s">
        <v>864</v>
      </c>
      <c r="E78" s="53" t="s">
        <v>864</v>
      </c>
      <c r="F78" s="53" t="s">
        <v>864</v>
      </c>
      <c r="G78" s="53" t="s">
        <v>864</v>
      </c>
      <c r="H78" s="53" t="s">
        <v>864</v>
      </c>
      <c r="I78" s="53" t="s">
        <v>864</v>
      </c>
      <c r="J78" s="53" t="s">
        <v>864</v>
      </c>
      <c r="K78" s="84" t="s">
        <v>864</v>
      </c>
      <c r="L78" s="73"/>
      <c r="M78" s="73"/>
      <c r="N78" s="74"/>
    </row>
    <row r="79" spans="1:14" ht="18.75" thickBot="1">
      <c r="A79" s="607" t="s">
        <v>1465</v>
      </c>
      <c r="B79" s="605"/>
      <c r="C79" s="605"/>
      <c r="D79" s="605"/>
      <c r="E79" s="605"/>
      <c r="F79" s="605"/>
      <c r="G79" s="605"/>
      <c r="H79" s="605"/>
      <c r="I79" s="605"/>
      <c r="J79" s="605"/>
      <c r="K79" s="606"/>
      <c r="L79" s="73"/>
      <c r="M79" s="73"/>
      <c r="N79" s="74"/>
    </row>
    <row r="80" spans="1:14" ht="17.45" customHeight="1">
      <c r="A80" s="615" t="s">
        <v>1402</v>
      </c>
      <c r="B80" s="34" t="s">
        <v>1404</v>
      </c>
      <c r="C80" s="38" t="s">
        <v>1406</v>
      </c>
      <c r="D80" s="36" t="s">
        <v>827</v>
      </c>
      <c r="E80" s="54" t="s">
        <v>1363</v>
      </c>
      <c r="F80" s="36" t="s">
        <v>1408</v>
      </c>
      <c r="G80" s="36" t="s">
        <v>1253</v>
      </c>
      <c r="H80" s="36" t="s">
        <v>1403</v>
      </c>
      <c r="I80" s="36" t="s">
        <v>1263</v>
      </c>
      <c r="J80" s="54" t="s">
        <v>1575</v>
      </c>
      <c r="K80" s="76" t="s">
        <v>1587</v>
      </c>
      <c r="L80" s="73"/>
      <c r="M80" s="73"/>
      <c r="N80" s="74"/>
    </row>
    <row r="81" spans="1:14" ht="17.45" customHeight="1">
      <c r="A81" s="615"/>
      <c r="B81" s="37" t="s">
        <v>1205</v>
      </c>
      <c r="C81" s="38" t="s">
        <v>1433</v>
      </c>
      <c r="D81" s="38" t="s">
        <v>1437</v>
      </c>
      <c r="E81" s="38" t="s">
        <v>1214</v>
      </c>
      <c r="F81" s="38" t="s">
        <v>542</v>
      </c>
      <c r="G81" s="38" t="s">
        <v>1393</v>
      </c>
      <c r="H81" s="38" t="s">
        <v>1426</v>
      </c>
      <c r="I81" s="38" t="s">
        <v>1210</v>
      </c>
      <c r="J81" s="38" t="s">
        <v>1413</v>
      </c>
      <c r="K81" s="86" t="s">
        <v>1100</v>
      </c>
      <c r="L81" s="73"/>
      <c r="M81" s="73"/>
      <c r="N81" s="74"/>
    </row>
    <row r="82" spans="1:14" ht="17.45" customHeight="1">
      <c r="A82" s="615"/>
      <c r="B82" s="37" t="s">
        <v>1190</v>
      </c>
      <c r="C82" s="38" t="s">
        <v>1435</v>
      </c>
      <c r="D82" s="38" t="s">
        <v>1431</v>
      </c>
      <c r="E82" s="38" t="s">
        <v>1529</v>
      </c>
      <c r="F82" s="38" t="s">
        <v>1415</v>
      </c>
      <c r="G82" s="38" t="s">
        <v>205</v>
      </c>
      <c r="H82" s="38" t="s">
        <v>745</v>
      </c>
      <c r="I82" s="38" t="s">
        <v>1419</v>
      </c>
      <c r="J82" s="38" t="s">
        <v>1432</v>
      </c>
      <c r="K82" s="77" t="s">
        <v>1440</v>
      </c>
      <c r="L82" s="73"/>
      <c r="M82" s="73"/>
      <c r="N82" s="74"/>
    </row>
    <row r="83" spans="1:14" ht="17.45" customHeight="1">
      <c r="A83" s="615"/>
      <c r="B83" s="37" t="s">
        <v>1182</v>
      </c>
      <c r="C83" s="38" t="s">
        <v>1427</v>
      </c>
      <c r="D83" s="38" t="s">
        <v>1212</v>
      </c>
      <c r="E83" s="38" t="s">
        <v>1436</v>
      </c>
      <c r="F83" s="38" t="s">
        <v>1549</v>
      </c>
      <c r="G83" s="38" t="s">
        <v>1452</v>
      </c>
      <c r="H83" s="38" t="s">
        <v>1411</v>
      </c>
      <c r="I83" s="38" t="s">
        <v>1442</v>
      </c>
      <c r="J83" s="38" t="s">
        <v>1422</v>
      </c>
      <c r="K83" s="77" t="s">
        <v>1416</v>
      </c>
      <c r="L83" s="73"/>
      <c r="M83" s="73"/>
      <c r="N83" s="74"/>
    </row>
    <row r="84" spans="1:14" ht="17.45" customHeight="1">
      <c r="A84" s="615"/>
      <c r="B84" s="37" t="s">
        <v>1414</v>
      </c>
      <c r="C84" s="38" t="s">
        <v>1444</v>
      </c>
      <c r="D84" s="38" t="s">
        <v>1262</v>
      </c>
      <c r="E84" s="38" t="s">
        <v>1441</v>
      </c>
      <c r="F84" s="38" t="s">
        <v>1446</v>
      </c>
      <c r="G84" s="38" t="s">
        <v>1099</v>
      </c>
      <c r="H84" s="38" t="s">
        <v>1398</v>
      </c>
      <c r="I84" s="38" t="s">
        <v>1400</v>
      </c>
      <c r="J84" s="38" t="s">
        <v>1421</v>
      </c>
      <c r="K84" s="77" t="s">
        <v>1221</v>
      </c>
      <c r="L84" s="73"/>
      <c r="M84" s="73"/>
      <c r="N84" s="74"/>
    </row>
    <row r="85" spans="1:14" ht="17.45" customHeight="1">
      <c r="A85" s="615"/>
      <c r="B85" s="45" t="s">
        <v>1219</v>
      </c>
      <c r="C85" s="38" t="s">
        <v>1320</v>
      </c>
      <c r="D85" s="38" t="s">
        <v>1424</v>
      </c>
      <c r="E85" s="38" t="s">
        <v>1450</v>
      </c>
      <c r="F85" s="38" t="s">
        <v>1454</v>
      </c>
      <c r="G85" s="40" t="s">
        <v>1159</v>
      </c>
      <c r="H85" s="38" t="s">
        <v>1410</v>
      </c>
      <c r="I85" s="38" t="s">
        <v>1456</v>
      </c>
      <c r="J85" s="38" t="s">
        <v>1449</v>
      </c>
      <c r="K85" s="77" t="s">
        <v>1417</v>
      </c>
      <c r="L85" s="73"/>
      <c r="M85" s="73"/>
      <c r="N85" s="74"/>
    </row>
    <row r="86" spans="1:14" ht="17.45" customHeight="1">
      <c r="A86" s="615"/>
      <c r="B86" s="45" t="s">
        <v>1223</v>
      </c>
      <c r="C86" s="38" t="s">
        <v>1086</v>
      </c>
      <c r="D86" s="89" t="s">
        <v>1319</v>
      </c>
      <c r="E86" s="44" t="s">
        <v>1138</v>
      </c>
      <c r="F86" s="38" t="s">
        <v>1461</v>
      </c>
      <c r="G86" s="39" t="s">
        <v>240</v>
      </c>
      <c r="H86" s="38" t="s">
        <v>1407</v>
      </c>
      <c r="I86" s="38" t="s">
        <v>1418</v>
      </c>
      <c r="J86" s="43" t="s">
        <v>1443</v>
      </c>
      <c r="K86" s="77" t="s">
        <v>1438</v>
      </c>
      <c r="L86" s="73"/>
      <c r="M86" s="73"/>
      <c r="N86" s="74"/>
    </row>
    <row r="87" spans="1:14" ht="17.45" customHeight="1">
      <c r="A87" s="615"/>
      <c r="B87" s="37" t="s">
        <v>1409</v>
      </c>
      <c r="C87" s="38" t="s">
        <v>1457</v>
      </c>
      <c r="D87" s="38" t="s">
        <v>1136</v>
      </c>
      <c r="E87" s="44" t="s">
        <v>1229</v>
      </c>
      <c r="F87" s="42" t="s">
        <v>1379</v>
      </c>
      <c r="G87" s="44" t="s">
        <v>1490</v>
      </c>
      <c r="H87" s="38" t="s">
        <v>1208</v>
      </c>
      <c r="I87" s="43" t="s">
        <v>1247</v>
      </c>
      <c r="J87" s="43" t="s">
        <v>1137</v>
      </c>
      <c r="K87" s="77" t="s">
        <v>1453</v>
      </c>
      <c r="L87" s="73"/>
      <c r="M87" s="73"/>
      <c r="N87" s="74"/>
    </row>
    <row r="88" spans="1:14" ht="17.45" customHeight="1">
      <c r="A88" s="615"/>
      <c r="B88" s="37" t="s">
        <v>1396</v>
      </c>
      <c r="C88" s="43" t="s">
        <v>1462</v>
      </c>
      <c r="D88" s="65" t="s">
        <v>825</v>
      </c>
      <c r="E88" s="44" t="s">
        <v>1107</v>
      </c>
      <c r="F88" s="452" t="s">
        <v>1188</v>
      </c>
      <c r="G88" s="42" t="s">
        <v>1185</v>
      </c>
      <c r="H88" s="38" t="s">
        <v>1455</v>
      </c>
      <c r="I88" s="43" t="s">
        <v>1451</v>
      </c>
      <c r="J88" s="42" t="s">
        <v>1251</v>
      </c>
      <c r="K88" s="77" t="s">
        <v>1103</v>
      </c>
      <c r="L88" s="73"/>
      <c r="M88" s="73"/>
      <c r="N88" s="74"/>
    </row>
    <row r="89" spans="1:14" ht="17.45" customHeight="1">
      <c r="A89" s="615"/>
      <c r="B89" s="47" t="s">
        <v>1144</v>
      </c>
      <c r="C89" s="42" t="s">
        <v>1287</v>
      </c>
      <c r="D89" s="38" t="s">
        <v>1143</v>
      </c>
      <c r="E89" s="456" t="s">
        <v>1273</v>
      </c>
      <c r="F89" s="39" t="s">
        <v>234</v>
      </c>
      <c r="G89" s="42" t="s">
        <v>1232</v>
      </c>
      <c r="H89" s="38" t="s">
        <v>1169</v>
      </c>
      <c r="I89" s="43" t="s">
        <v>1430</v>
      </c>
      <c r="J89" s="42" t="s">
        <v>1161</v>
      </c>
      <c r="K89" s="77" t="s">
        <v>1445</v>
      </c>
      <c r="L89" s="73"/>
      <c r="M89" s="73"/>
      <c r="N89" s="74"/>
    </row>
    <row r="90" spans="1:14" ht="17.45" customHeight="1">
      <c r="A90" s="615"/>
      <c r="B90" s="68" t="s">
        <v>1260</v>
      </c>
      <c r="C90" s="44" t="s">
        <v>159</v>
      </c>
      <c r="D90" s="43" t="s">
        <v>1080</v>
      </c>
      <c r="E90" s="456" t="s">
        <v>1486</v>
      </c>
      <c r="F90" s="42" t="s">
        <v>1485</v>
      </c>
      <c r="G90" s="43" t="s">
        <v>1256</v>
      </c>
      <c r="H90" s="38" t="s">
        <v>1303</v>
      </c>
      <c r="I90" s="42" t="s">
        <v>1101</v>
      </c>
      <c r="J90" s="42" t="s">
        <v>1171</v>
      </c>
      <c r="K90" s="77" t="s">
        <v>1459</v>
      </c>
      <c r="L90" s="73"/>
      <c r="M90" s="73"/>
      <c r="N90" s="74"/>
    </row>
    <row r="91" spans="1:14" ht="17.45" customHeight="1">
      <c r="A91" s="615"/>
      <c r="B91" s="406" t="s">
        <v>1124</v>
      </c>
      <c r="C91" s="40" t="s">
        <v>1236</v>
      </c>
      <c r="D91" s="456" t="s">
        <v>1231</v>
      </c>
      <c r="E91" s="44" t="s">
        <v>1186</v>
      </c>
      <c r="F91" s="41" t="s">
        <v>864</v>
      </c>
      <c r="G91" s="456" t="s">
        <v>1268</v>
      </c>
      <c r="H91" s="38" t="s">
        <v>1466</v>
      </c>
      <c r="I91" s="456" t="s">
        <v>1272</v>
      </c>
      <c r="J91" s="42" t="s">
        <v>1264</v>
      </c>
      <c r="K91" s="77" t="s">
        <v>1460</v>
      </c>
      <c r="L91" s="73"/>
      <c r="M91" s="73"/>
      <c r="N91" s="74"/>
    </row>
    <row r="92" spans="1:14" ht="17.45" customHeight="1" thickBot="1">
      <c r="A92" s="615"/>
      <c r="B92" s="451" t="s">
        <v>1428</v>
      </c>
      <c r="C92" s="456" t="s">
        <v>1504</v>
      </c>
      <c r="D92" s="456" t="s">
        <v>1102</v>
      </c>
      <c r="E92" s="46" t="s">
        <v>1616</v>
      </c>
      <c r="F92" s="41" t="s">
        <v>864</v>
      </c>
      <c r="G92" s="456" t="s">
        <v>1140</v>
      </c>
      <c r="H92" s="38" t="s">
        <v>189</v>
      </c>
      <c r="I92" s="452" t="s">
        <v>1087</v>
      </c>
      <c r="J92" s="44" t="s">
        <v>1487</v>
      </c>
      <c r="K92" s="387" t="s">
        <v>1474</v>
      </c>
      <c r="L92" s="73"/>
      <c r="M92" s="73"/>
      <c r="N92" s="74"/>
    </row>
    <row r="93" spans="1:14" ht="17.45" customHeight="1">
      <c r="A93" s="615"/>
      <c r="B93" s="186" t="s">
        <v>1653</v>
      </c>
      <c r="C93" s="456" t="s">
        <v>1235</v>
      </c>
      <c r="D93" s="456" t="s">
        <v>1105</v>
      </c>
      <c r="E93" s="46" t="s">
        <v>1786</v>
      </c>
      <c r="F93" s="41" t="s">
        <v>864</v>
      </c>
      <c r="G93" s="39" t="s">
        <v>1531</v>
      </c>
      <c r="H93" s="38" t="s">
        <v>1420</v>
      </c>
      <c r="I93" s="452" t="s">
        <v>1191</v>
      </c>
      <c r="J93" s="44" t="s">
        <v>1489</v>
      </c>
      <c r="K93" s="78" t="s">
        <v>1187</v>
      </c>
      <c r="L93" s="73"/>
      <c r="M93" s="73"/>
      <c r="N93" s="74"/>
    </row>
    <row r="94" spans="1:14" ht="17.45" customHeight="1">
      <c r="A94" s="615"/>
      <c r="B94" s="69" t="s">
        <v>864</v>
      </c>
      <c r="C94" s="456" t="s">
        <v>1120</v>
      </c>
      <c r="D94" s="456" t="s">
        <v>1274</v>
      </c>
      <c r="E94" s="46" t="s">
        <v>1663</v>
      </c>
      <c r="F94" s="41" t="s">
        <v>864</v>
      </c>
      <c r="G94" s="456" t="s">
        <v>1535</v>
      </c>
      <c r="H94" s="43" t="s">
        <v>1458</v>
      </c>
      <c r="I94" s="38" t="s">
        <v>1244</v>
      </c>
      <c r="J94" s="40" t="s">
        <v>1495</v>
      </c>
      <c r="K94" s="78" t="s">
        <v>1425</v>
      </c>
      <c r="L94" s="73"/>
      <c r="M94" s="73"/>
      <c r="N94" s="74"/>
    </row>
    <row r="95" spans="1:14" ht="18" customHeight="1">
      <c r="A95" s="615"/>
      <c r="B95" s="69" t="s">
        <v>864</v>
      </c>
      <c r="C95" s="44" t="s">
        <v>1488</v>
      </c>
      <c r="D95" s="38" t="s">
        <v>1447</v>
      </c>
      <c r="E95" s="46" t="s">
        <v>1696</v>
      </c>
      <c r="F95" s="41" t="s">
        <v>864</v>
      </c>
      <c r="G95" s="38" t="s">
        <v>1732</v>
      </c>
      <c r="H95" s="42" t="s">
        <v>1192</v>
      </c>
      <c r="I95" s="46" t="s">
        <v>1627</v>
      </c>
      <c r="J95" s="66" t="s">
        <v>301</v>
      </c>
      <c r="K95" s="78" t="s">
        <v>1463</v>
      </c>
      <c r="L95" s="73"/>
      <c r="M95" s="73"/>
      <c r="N95" s="74"/>
    </row>
    <row r="96" spans="1:14" ht="18" customHeight="1" thickBot="1">
      <c r="A96" s="615"/>
      <c r="B96" s="69" t="s">
        <v>864</v>
      </c>
      <c r="C96" s="46" t="s">
        <v>1643</v>
      </c>
      <c r="D96" s="41" t="s">
        <v>864</v>
      </c>
      <c r="E96" s="46" t="s">
        <v>1720</v>
      </c>
      <c r="F96" s="41" t="s">
        <v>864</v>
      </c>
      <c r="G96" s="38" t="s">
        <v>1304</v>
      </c>
      <c r="H96" s="42" t="s">
        <v>1193</v>
      </c>
      <c r="I96" s="46" t="s">
        <v>1684</v>
      </c>
      <c r="J96" s="435" t="s">
        <v>1605</v>
      </c>
      <c r="K96" s="78" t="s">
        <v>1227</v>
      </c>
      <c r="L96" s="73"/>
      <c r="M96" s="73"/>
      <c r="N96" s="74"/>
    </row>
    <row r="97" spans="1:14" ht="17.45" customHeight="1" thickBot="1">
      <c r="A97" s="615"/>
      <c r="B97" s="69" t="s">
        <v>864</v>
      </c>
      <c r="C97" s="448" t="s">
        <v>1648</v>
      </c>
      <c r="D97" s="41" t="s">
        <v>864</v>
      </c>
      <c r="E97" s="41" t="s">
        <v>864</v>
      </c>
      <c r="F97" s="41" t="s">
        <v>864</v>
      </c>
      <c r="G97" s="46" t="s">
        <v>1632</v>
      </c>
      <c r="H97" s="49" t="s">
        <v>1122</v>
      </c>
      <c r="I97" s="41" t="s">
        <v>864</v>
      </c>
      <c r="J97" s="456" t="s">
        <v>1269</v>
      </c>
      <c r="K97" s="80" t="s">
        <v>1108</v>
      </c>
      <c r="L97" s="73"/>
      <c r="M97" s="73"/>
      <c r="N97" s="74"/>
    </row>
    <row r="98" spans="1:14" ht="17.45" customHeight="1">
      <c r="A98" s="615"/>
      <c r="B98" s="69" t="s">
        <v>864</v>
      </c>
      <c r="C98" s="41" t="s">
        <v>864</v>
      </c>
      <c r="D98" s="41" t="s">
        <v>864</v>
      </c>
      <c r="E98" s="41" t="s">
        <v>864</v>
      </c>
      <c r="F98" s="41" t="s">
        <v>864</v>
      </c>
      <c r="G98" s="46" t="s">
        <v>1702</v>
      </c>
      <c r="H98" s="452" t="s">
        <v>1738</v>
      </c>
      <c r="I98" s="41" t="s">
        <v>864</v>
      </c>
      <c r="J98" s="456" t="s">
        <v>1228</v>
      </c>
      <c r="K98" s="80" t="s">
        <v>1106</v>
      </c>
      <c r="L98" s="73"/>
      <c r="M98" s="73"/>
      <c r="N98" s="74"/>
    </row>
    <row r="99" spans="1:14" ht="17.45" customHeight="1" thickBot="1">
      <c r="A99" s="615"/>
      <c r="B99" s="69" t="s">
        <v>864</v>
      </c>
      <c r="C99" s="41" t="s">
        <v>864</v>
      </c>
      <c r="D99" s="41" t="s">
        <v>864</v>
      </c>
      <c r="E99" s="41" t="s">
        <v>864</v>
      </c>
      <c r="F99" s="41" t="s">
        <v>864</v>
      </c>
      <c r="G99" s="46" t="s">
        <v>1729</v>
      </c>
      <c r="H99" s="435" t="s">
        <v>1546</v>
      </c>
      <c r="I99" s="41" t="s">
        <v>864</v>
      </c>
      <c r="J99" s="456" t="s">
        <v>1163</v>
      </c>
      <c r="K99" s="77" t="s">
        <v>1270</v>
      </c>
      <c r="L99" s="73"/>
      <c r="M99" s="73"/>
      <c r="N99" s="74"/>
    </row>
    <row r="100" spans="1:14" ht="17.45" customHeight="1">
      <c r="A100" s="615"/>
      <c r="B100" s="69" t="s">
        <v>864</v>
      </c>
      <c r="C100" s="41" t="s">
        <v>864</v>
      </c>
      <c r="D100" s="41" t="s">
        <v>864</v>
      </c>
      <c r="E100" s="41" t="s">
        <v>864</v>
      </c>
      <c r="F100" s="41" t="s">
        <v>864</v>
      </c>
      <c r="G100" s="38" t="s">
        <v>1434</v>
      </c>
      <c r="H100" s="452" t="s">
        <v>1170</v>
      </c>
      <c r="I100" s="41" t="s">
        <v>864</v>
      </c>
      <c r="J100" s="46" t="s">
        <v>1794</v>
      </c>
      <c r="K100" s="434" t="s">
        <v>1206</v>
      </c>
      <c r="L100" s="73"/>
      <c r="M100" s="73"/>
      <c r="N100" s="74"/>
    </row>
    <row r="101" spans="1:14" ht="17.45" customHeight="1">
      <c r="A101" s="615"/>
      <c r="B101" s="69" t="s">
        <v>864</v>
      </c>
      <c r="C101" s="41" t="s">
        <v>864</v>
      </c>
      <c r="D101" s="41" t="s">
        <v>864</v>
      </c>
      <c r="E101" s="41" t="s">
        <v>864</v>
      </c>
      <c r="F101" s="41" t="s">
        <v>864</v>
      </c>
      <c r="G101" s="41" t="s">
        <v>864</v>
      </c>
      <c r="H101" s="46" t="s">
        <v>1777</v>
      </c>
      <c r="I101" s="41" t="s">
        <v>864</v>
      </c>
      <c r="J101" s="46" t="s">
        <v>1637</v>
      </c>
      <c r="K101" s="457" t="s">
        <v>1163</v>
      </c>
      <c r="L101" s="73"/>
      <c r="M101" s="73"/>
      <c r="N101" s="74"/>
    </row>
    <row r="102" spans="1:14" ht="17.45" customHeight="1">
      <c r="A102" s="615"/>
      <c r="B102" s="69" t="s">
        <v>864</v>
      </c>
      <c r="C102" s="41" t="s">
        <v>864</v>
      </c>
      <c r="D102" s="41" t="s">
        <v>864</v>
      </c>
      <c r="E102" s="41" t="s">
        <v>864</v>
      </c>
      <c r="F102" s="41" t="s">
        <v>864</v>
      </c>
      <c r="G102" s="41" t="s">
        <v>864</v>
      </c>
      <c r="H102" s="41" t="s">
        <v>864</v>
      </c>
      <c r="I102" s="41" t="s">
        <v>864</v>
      </c>
      <c r="J102" s="435" t="s">
        <v>1316</v>
      </c>
      <c r="K102" s="46" t="s">
        <v>1610</v>
      </c>
      <c r="L102" s="73"/>
      <c r="M102" s="73"/>
      <c r="N102" s="74"/>
    </row>
    <row r="103" spans="1:14" ht="17.45" customHeight="1">
      <c r="A103" s="615"/>
      <c r="B103" s="69" t="s">
        <v>864</v>
      </c>
      <c r="C103" s="41" t="s">
        <v>864</v>
      </c>
      <c r="D103" s="41" t="s">
        <v>864</v>
      </c>
      <c r="E103" s="41" t="s">
        <v>864</v>
      </c>
      <c r="F103" s="41" t="s">
        <v>864</v>
      </c>
      <c r="G103" s="41" t="s">
        <v>864</v>
      </c>
      <c r="H103" s="41" t="s">
        <v>864</v>
      </c>
      <c r="I103" s="41" t="s">
        <v>864</v>
      </c>
      <c r="J103" s="46" t="s">
        <v>1766</v>
      </c>
      <c r="K103" s="46" t="s">
        <v>1622</v>
      </c>
      <c r="L103" s="73"/>
      <c r="M103" s="73"/>
      <c r="N103" s="74"/>
    </row>
    <row r="104" spans="1:14" ht="16.5">
      <c r="A104" s="615"/>
      <c r="B104" s="69" t="s">
        <v>864</v>
      </c>
      <c r="C104" s="41" t="s">
        <v>864</v>
      </c>
      <c r="D104" s="41" t="s">
        <v>864</v>
      </c>
      <c r="E104" s="41" t="s">
        <v>864</v>
      </c>
      <c r="F104" s="41" t="s">
        <v>864</v>
      </c>
      <c r="G104" s="41" t="s">
        <v>864</v>
      </c>
      <c r="H104" s="41" t="s">
        <v>864</v>
      </c>
      <c r="I104" s="41" t="s">
        <v>864</v>
      </c>
      <c r="J104" s="46" t="s">
        <v>1690</v>
      </c>
      <c r="K104" s="46" t="s">
        <v>1638</v>
      </c>
      <c r="L104" s="96"/>
      <c r="M104" s="73"/>
      <c r="N104" s="74"/>
    </row>
    <row r="105" spans="1:14" ht="17.100000000000001" customHeight="1">
      <c r="A105" s="615"/>
      <c r="B105" s="69" t="s">
        <v>864</v>
      </c>
      <c r="C105" s="41" t="s">
        <v>864</v>
      </c>
      <c r="D105" s="41" t="s">
        <v>864</v>
      </c>
      <c r="E105" s="41" t="s">
        <v>864</v>
      </c>
      <c r="F105" s="41" t="s">
        <v>864</v>
      </c>
      <c r="G105" s="41" t="s">
        <v>864</v>
      </c>
      <c r="H105" s="41" t="s">
        <v>864</v>
      </c>
      <c r="I105" s="41" t="s">
        <v>864</v>
      </c>
      <c r="J105" s="46" t="s">
        <v>1710</v>
      </c>
      <c r="K105" s="46" t="s">
        <v>1669</v>
      </c>
      <c r="L105" s="73"/>
      <c r="M105" s="73"/>
      <c r="N105" s="74"/>
    </row>
    <row r="106" spans="1:14" ht="16.5">
      <c r="A106" s="615"/>
      <c r="B106" s="69" t="s">
        <v>864</v>
      </c>
      <c r="C106" s="41" t="s">
        <v>864</v>
      </c>
      <c r="D106" s="41" t="s">
        <v>864</v>
      </c>
      <c r="E106" s="41" t="s">
        <v>864</v>
      </c>
      <c r="F106" s="41" t="s">
        <v>864</v>
      </c>
      <c r="G106" s="41" t="s">
        <v>864</v>
      </c>
      <c r="H106" s="41" t="s">
        <v>864</v>
      </c>
      <c r="I106" s="41" t="s">
        <v>864</v>
      </c>
      <c r="J106" s="41" t="s">
        <v>864</v>
      </c>
      <c r="K106" s="46" t="s">
        <v>1676</v>
      </c>
      <c r="L106" s="73"/>
      <c r="M106" s="73"/>
      <c r="N106" s="74"/>
    </row>
    <row r="107" spans="1:14" ht="16.5">
      <c r="A107" s="615"/>
      <c r="B107" s="69" t="s">
        <v>864</v>
      </c>
      <c r="C107" s="41" t="s">
        <v>864</v>
      </c>
      <c r="D107" s="41" t="s">
        <v>864</v>
      </c>
      <c r="E107" s="41" t="s">
        <v>864</v>
      </c>
      <c r="F107" s="41" t="s">
        <v>864</v>
      </c>
      <c r="G107" s="41" t="s">
        <v>864</v>
      </c>
      <c r="H107" s="41" t="s">
        <v>864</v>
      </c>
      <c r="I107" s="41" t="s">
        <v>864</v>
      </c>
      <c r="J107" s="41" t="s">
        <v>864</v>
      </c>
      <c r="K107" s="46" t="s">
        <v>1765</v>
      </c>
      <c r="L107" s="73"/>
      <c r="M107" s="73"/>
      <c r="N107" s="74"/>
    </row>
    <row r="108" spans="1:14" ht="15.75" thickBot="1">
      <c r="A108" s="615"/>
      <c r="B108" s="52" t="s">
        <v>864</v>
      </c>
      <c r="C108" s="53" t="s">
        <v>864</v>
      </c>
      <c r="D108" s="53" t="s">
        <v>864</v>
      </c>
      <c r="E108" s="53" t="s">
        <v>864</v>
      </c>
      <c r="F108" s="53" t="s">
        <v>864</v>
      </c>
      <c r="G108" s="53" t="s">
        <v>864</v>
      </c>
      <c r="H108" s="53" t="s">
        <v>864</v>
      </c>
      <c r="I108" s="53" t="s">
        <v>864</v>
      </c>
      <c r="J108" s="53" t="s">
        <v>864</v>
      </c>
      <c r="K108" s="84" t="s">
        <v>864</v>
      </c>
      <c r="L108" s="73"/>
      <c r="M108" s="73"/>
      <c r="N108" s="74"/>
    </row>
    <row r="109" spans="1:14" ht="18.75" thickBot="1">
      <c r="A109" s="616" t="s">
        <v>1402</v>
      </c>
      <c r="B109" s="608" t="s">
        <v>1467</v>
      </c>
      <c r="C109" s="608"/>
      <c r="D109" s="608"/>
      <c r="E109" s="608"/>
      <c r="F109" s="608"/>
      <c r="G109" s="608"/>
      <c r="H109" s="608"/>
      <c r="I109" s="608"/>
      <c r="J109" s="608"/>
      <c r="K109" s="609"/>
      <c r="L109" s="73"/>
      <c r="M109" s="73"/>
      <c r="N109" s="74"/>
    </row>
    <row r="110" spans="1:14" ht="16.5">
      <c r="A110" s="615"/>
      <c r="B110" s="91" t="s">
        <v>758</v>
      </c>
      <c r="C110" s="92" t="s">
        <v>816</v>
      </c>
      <c r="D110" s="92" t="s">
        <v>1475</v>
      </c>
      <c r="E110" s="92" t="s">
        <v>730</v>
      </c>
      <c r="F110" s="93" t="s">
        <v>715</v>
      </c>
      <c r="G110" s="92" t="s">
        <v>703</v>
      </c>
      <c r="H110" s="93" t="s">
        <v>655</v>
      </c>
      <c r="I110" s="92" t="s">
        <v>674</v>
      </c>
      <c r="J110" s="97" t="s">
        <v>864</v>
      </c>
      <c r="K110" s="98" t="s">
        <v>864</v>
      </c>
      <c r="L110" s="73"/>
      <c r="M110" s="73"/>
      <c r="N110" s="74"/>
    </row>
    <row r="111" spans="1:14" ht="20.100000000000001" customHeight="1">
      <c r="A111" s="615"/>
      <c r="B111" s="63" t="s">
        <v>1547</v>
      </c>
      <c r="C111" s="58" t="s">
        <v>1318</v>
      </c>
      <c r="D111" s="59" t="s">
        <v>688</v>
      </c>
      <c r="E111" s="62" t="s">
        <v>898</v>
      </c>
      <c r="F111" s="62" t="s">
        <v>751</v>
      </c>
      <c r="G111" s="62" t="s">
        <v>728</v>
      </c>
      <c r="H111" s="58" t="s">
        <v>802</v>
      </c>
      <c r="I111" s="58" t="s">
        <v>675</v>
      </c>
      <c r="J111" s="41" t="s">
        <v>864</v>
      </c>
      <c r="K111" s="90" t="s">
        <v>864</v>
      </c>
      <c r="L111" s="73"/>
      <c r="M111" s="73"/>
      <c r="N111" s="74"/>
    </row>
    <row r="112" spans="1:14" ht="18" customHeight="1">
      <c r="A112" s="615"/>
      <c r="B112" s="62" t="s">
        <v>1527</v>
      </c>
      <c r="C112" s="41" t="s">
        <v>864</v>
      </c>
      <c r="D112" s="59" t="s">
        <v>696</v>
      </c>
      <c r="E112" s="443" t="s">
        <v>1586</v>
      </c>
      <c r="F112" s="59" t="s">
        <v>732</v>
      </c>
      <c r="G112" s="62" t="s">
        <v>1252</v>
      </c>
      <c r="H112" s="58" t="s">
        <v>1471</v>
      </c>
      <c r="I112" s="62" t="s">
        <v>657</v>
      </c>
      <c r="J112" s="41" t="s">
        <v>864</v>
      </c>
      <c r="K112" s="90" t="s">
        <v>864</v>
      </c>
      <c r="L112" s="73"/>
      <c r="M112" s="73"/>
      <c r="N112" s="74"/>
    </row>
    <row r="113" spans="1:14" ht="17.100000000000001" customHeight="1">
      <c r="A113" s="615"/>
      <c r="B113" s="69" t="s">
        <v>864</v>
      </c>
      <c r="C113" s="41" t="s">
        <v>864</v>
      </c>
      <c r="D113" s="58" t="s">
        <v>1315</v>
      </c>
      <c r="E113" s="59" t="s">
        <v>1563</v>
      </c>
      <c r="F113" s="62" t="s">
        <v>1321</v>
      </c>
      <c r="G113" s="62" t="s">
        <v>669</v>
      </c>
      <c r="H113" s="59" t="s">
        <v>1255</v>
      </c>
      <c r="I113" s="58" t="s">
        <v>398</v>
      </c>
      <c r="J113" s="41" t="s">
        <v>864</v>
      </c>
      <c r="K113" s="90" t="s">
        <v>864</v>
      </c>
      <c r="L113" s="73"/>
      <c r="M113" s="73"/>
      <c r="N113" s="74"/>
    </row>
    <row r="114" spans="1:14" ht="16.5">
      <c r="A114" s="615"/>
      <c r="B114" s="69" t="s">
        <v>864</v>
      </c>
      <c r="C114" s="41" t="s">
        <v>864</v>
      </c>
      <c r="D114" s="59" t="s">
        <v>1097</v>
      </c>
      <c r="E114" s="58" t="s">
        <v>1500</v>
      </c>
      <c r="F114" s="62" t="s">
        <v>1322</v>
      </c>
      <c r="G114" s="41" t="s">
        <v>864</v>
      </c>
      <c r="H114" s="41" t="s">
        <v>864</v>
      </c>
      <c r="I114" s="62" t="s">
        <v>842</v>
      </c>
      <c r="J114" s="41" t="s">
        <v>864</v>
      </c>
      <c r="K114" s="90" t="s">
        <v>864</v>
      </c>
      <c r="L114" s="73"/>
      <c r="M114" s="73"/>
      <c r="N114" s="74"/>
    </row>
    <row r="115" spans="1:14" ht="16.5">
      <c r="A115" s="615"/>
      <c r="B115" s="69" t="s">
        <v>864</v>
      </c>
      <c r="C115" s="41" t="s">
        <v>864</v>
      </c>
      <c r="D115" s="41" t="s">
        <v>864</v>
      </c>
      <c r="E115" s="41" t="s">
        <v>864</v>
      </c>
      <c r="F115" s="59" t="s">
        <v>1584</v>
      </c>
      <c r="G115" s="41" t="s">
        <v>864</v>
      </c>
      <c r="H115" s="41" t="s">
        <v>864</v>
      </c>
      <c r="I115" s="59" t="s">
        <v>1216</v>
      </c>
      <c r="J115" s="41" t="s">
        <v>864</v>
      </c>
      <c r="K115" s="90" t="s">
        <v>864</v>
      </c>
      <c r="L115" s="73"/>
      <c r="M115" s="73"/>
      <c r="N115" s="74"/>
    </row>
    <row r="116" spans="1:14" ht="16.5">
      <c r="A116" s="615"/>
      <c r="B116" s="69" t="s">
        <v>864</v>
      </c>
      <c r="C116" s="41" t="s">
        <v>864</v>
      </c>
      <c r="D116" s="41" t="s">
        <v>864</v>
      </c>
      <c r="E116" s="41" t="s">
        <v>864</v>
      </c>
      <c r="F116" s="41" t="s">
        <v>864</v>
      </c>
      <c r="G116" s="41" t="s">
        <v>864</v>
      </c>
      <c r="H116" s="41" t="s">
        <v>864</v>
      </c>
      <c r="I116" s="62" t="s">
        <v>1501</v>
      </c>
      <c r="J116" s="41" t="s">
        <v>864</v>
      </c>
      <c r="K116" s="90" t="s">
        <v>864</v>
      </c>
      <c r="L116" s="73"/>
      <c r="M116" s="73"/>
      <c r="N116" s="74"/>
    </row>
    <row r="117" spans="1:14" ht="19.5" customHeight="1">
      <c r="A117" s="615"/>
      <c r="B117" s="69" t="s">
        <v>864</v>
      </c>
      <c r="C117" s="41" t="s">
        <v>864</v>
      </c>
      <c r="D117" s="41" t="s">
        <v>864</v>
      </c>
      <c r="E117" s="41" t="s">
        <v>864</v>
      </c>
      <c r="F117" s="41" t="s">
        <v>864</v>
      </c>
      <c r="G117" s="41" t="s">
        <v>864</v>
      </c>
      <c r="H117" s="41" t="s">
        <v>864</v>
      </c>
      <c r="I117" s="443" t="s">
        <v>1585</v>
      </c>
      <c r="J117" s="41" t="s">
        <v>864</v>
      </c>
      <c r="K117" s="90" t="s">
        <v>864</v>
      </c>
      <c r="L117" s="73"/>
      <c r="M117" s="73"/>
      <c r="N117" s="74"/>
    </row>
    <row r="118" spans="1:14">
      <c r="A118" s="615"/>
      <c r="B118" s="69" t="s">
        <v>864</v>
      </c>
      <c r="C118" s="41" t="s">
        <v>864</v>
      </c>
      <c r="D118" s="41" t="s">
        <v>864</v>
      </c>
      <c r="E118" s="41" t="s">
        <v>864</v>
      </c>
      <c r="F118" s="41" t="s">
        <v>864</v>
      </c>
      <c r="G118" s="41" t="s">
        <v>864</v>
      </c>
      <c r="H118" s="41" t="s">
        <v>864</v>
      </c>
      <c r="I118" s="41" t="s">
        <v>864</v>
      </c>
      <c r="J118" s="41" t="s">
        <v>864</v>
      </c>
      <c r="K118" s="90" t="s">
        <v>864</v>
      </c>
      <c r="L118" s="73"/>
      <c r="M118" s="73"/>
      <c r="N118" s="74"/>
    </row>
    <row r="119" spans="1:14">
      <c r="A119" s="615"/>
      <c r="B119" s="69" t="s">
        <v>864</v>
      </c>
      <c r="C119" s="41" t="s">
        <v>864</v>
      </c>
      <c r="D119" s="41" t="s">
        <v>864</v>
      </c>
      <c r="E119" s="41" t="s">
        <v>864</v>
      </c>
      <c r="F119" s="41" t="s">
        <v>864</v>
      </c>
      <c r="G119" s="41" t="s">
        <v>864</v>
      </c>
      <c r="H119" s="41" t="s">
        <v>864</v>
      </c>
      <c r="I119" s="41" t="s">
        <v>864</v>
      </c>
      <c r="J119" s="41" t="s">
        <v>864</v>
      </c>
      <c r="K119" s="90" t="s">
        <v>864</v>
      </c>
      <c r="L119" s="73"/>
      <c r="M119" s="73"/>
      <c r="N119" s="74"/>
    </row>
    <row r="120" spans="1:14">
      <c r="A120" s="615"/>
      <c r="B120" s="69" t="s">
        <v>864</v>
      </c>
      <c r="C120" s="41" t="s">
        <v>864</v>
      </c>
      <c r="D120" s="41" t="s">
        <v>864</v>
      </c>
      <c r="E120" s="41" t="s">
        <v>864</v>
      </c>
      <c r="F120" s="41" t="s">
        <v>864</v>
      </c>
      <c r="G120" s="41" t="s">
        <v>864</v>
      </c>
      <c r="H120" s="41" t="s">
        <v>864</v>
      </c>
      <c r="I120" s="41" t="s">
        <v>864</v>
      </c>
      <c r="J120" s="41" t="s">
        <v>864</v>
      </c>
      <c r="K120" s="90" t="s">
        <v>864</v>
      </c>
      <c r="L120" s="73"/>
      <c r="M120" s="73"/>
      <c r="N120" s="74"/>
    </row>
    <row r="121" spans="1:14">
      <c r="A121" s="615"/>
      <c r="B121" s="69" t="s">
        <v>864</v>
      </c>
      <c r="C121" s="41" t="s">
        <v>864</v>
      </c>
      <c r="D121" s="41" t="s">
        <v>864</v>
      </c>
      <c r="E121" s="41" t="s">
        <v>864</v>
      </c>
      <c r="F121" s="41" t="s">
        <v>864</v>
      </c>
      <c r="G121" s="41" t="s">
        <v>864</v>
      </c>
      <c r="H121" s="41" t="s">
        <v>864</v>
      </c>
      <c r="I121" s="41" t="s">
        <v>864</v>
      </c>
      <c r="J121" s="41" t="s">
        <v>864</v>
      </c>
      <c r="K121" s="90" t="s">
        <v>864</v>
      </c>
      <c r="L121" s="73"/>
      <c r="M121" s="73"/>
      <c r="N121" s="74"/>
    </row>
    <row r="122" spans="1:14">
      <c r="A122" s="615"/>
      <c r="B122" s="69" t="s">
        <v>864</v>
      </c>
      <c r="C122" s="41" t="s">
        <v>864</v>
      </c>
      <c r="D122" s="41" t="s">
        <v>864</v>
      </c>
      <c r="E122" s="41" t="s">
        <v>864</v>
      </c>
      <c r="F122" s="41" t="s">
        <v>864</v>
      </c>
      <c r="G122" s="41" t="s">
        <v>864</v>
      </c>
      <c r="H122" s="41" t="s">
        <v>864</v>
      </c>
      <c r="I122" s="41" t="s">
        <v>864</v>
      </c>
      <c r="J122" s="41" t="s">
        <v>864</v>
      </c>
      <c r="K122" s="90" t="s">
        <v>864</v>
      </c>
      <c r="L122" s="73"/>
      <c r="M122" s="96"/>
      <c r="N122" s="74"/>
    </row>
    <row r="123" spans="1:14">
      <c r="A123" s="615"/>
      <c r="B123" s="69" t="s">
        <v>864</v>
      </c>
      <c r="C123" s="41" t="s">
        <v>864</v>
      </c>
      <c r="D123" s="41" t="s">
        <v>864</v>
      </c>
      <c r="E123" s="41" t="s">
        <v>864</v>
      </c>
      <c r="F123" s="41" t="s">
        <v>864</v>
      </c>
      <c r="G123" s="41" t="s">
        <v>864</v>
      </c>
      <c r="H123" s="41" t="s">
        <v>864</v>
      </c>
      <c r="I123" s="41" t="s">
        <v>864</v>
      </c>
      <c r="J123" s="41" t="s">
        <v>864</v>
      </c>
      <c r="K123" s="90" t="s">
        <v>864</v>
      </c>
      <c r="L123" s="73"/>
      <c r="M123" s="73"/>
      <c r="N123" s="74"/>
    </row>
    <row r="124" spans="1:14" ht="18.95" customHeight="1">
      <c r="A124" s="615"/>
      <c r="B124" s="69" t="s">
        <v>864</v>
      </c>
      <c r="C124" s="41" t="s">
        <v>864</v>
      </c>
      <c r="D124" s="41" t="s">
        <v>864</v>
      </c>
      <c r="E124" s="41" t="s">
        <v>864</v>
      </c>
      <c r="F124" s="41" t="s">
        <v>864</v>
      </c>
      <c r="G124" s="41" t="s">
        <v>864</v>
      </c>
      <c r="H124" s="41" t="s">
        <v>864</v>
      </c>
      <c r="I124" s="41" t="s">
        <v>864</v>
      </c>
      <c r="J124" s="41" t="s">
        <v>864</v>
      </c>
      <c r="K124" s="90" t="s">
        <v>864</v>
      </c>
      <c r="L124" s="73"/>
      <c r="M124" s="73"/>
      <c r="N124" s="74"/>
    </row>
    <row r="125" spans="1:14" ht="18" customHeight="1">
      <c r="A125" s="615"/>
      <c r="B125" s="69" t="s">
        <v>864</v>
      </c>
      <c r="C125" s="41" t="s">
        <v>864</v>
      </c>
      <c r="D125" s="41" t="s">
        <v>864</v>
      </c>
      <c r="E125" s="41" t="s">
        <v>864</v>
      </c>
      <c r="F125" s="41" t="s">
        <v>864</v>
      </c>
      <c r="G125" s="41" t="s">
        <v>864</v>
      </c>
      <c r="H125" s="41" t="s">
        <v>864</v>
      </c>
      <c r="I125" s="41" t="s">
        <v>864</v>
      </c>
      <c r="J125" s="41" t="s">
        <v>864</v>
      </c>
      <c r="K125" s="90" t="s">
        <v>864</v>
      </c>
      <c r="L125" s="73"/>
      <c r="M125" s="73"/>
      <c r="N125" s="74"/>
    </row>
    <row r="126" spans="1:14" ht="18" customHeight="1">
      <c r="A126" s="615"/>
      <c r="B126" s="69" t="s">
        <v>864</v>
      </c>
      <c r="C126" s="41" t="s">
        <v>864</v>
      </c>
      <c r="D126" s="41" t="s">
        <v>864</v>
      </c>
      <c r="E126" s="41" t="s">
        <v>864</v>
      </c>
      <c r="F126" s="41" t="s">
        <v>864</v>
      </c>
      <c r="G126" s="41" t="s">
        <v>864</v>
      </c>
      <c r="H126" s="41" t="s">
        <v>864</v>
      </c>
      <c r="I126" s="41" t="s">
        <v>864</v>
      </c>
      <c r="J126" s="41" t="s">
        <v>864</v>
      </c>
      <c r="K126" s="90" t="s">
        <v>864</v>
      </c>
      <c r="L126" s="73"/>
      <c r="M126" s="73"/>
      <c r="N126" s="74"/>
    </row>
    <row r="127" spans="1:14" ht="18" customHeight="1" thickBot="1">
      <c r="A127" s="617"/>
      <c r="B127" s="52" t="s">
        <v>864</v>
      </c>
      <c r="C127" s="53" t="s">
        <v>864</v>
      </c>
      <c r="D127" s="53" t="s">
        <v>864</v>
      </c>
      <c r="E127" s="53" t="s">
        <v>864</v>
      </c>
      <c r="F127" s="53" t="s">
        <v>864</v>
      </c>
      <c r="G127" s="53" t="s">
        <v>864</v>
      </c>
      <c r="H127" s="53" t="s">
        <v>864</v>
      </c>
      <c r="I127" s="53" t="s">
        <v>864</v>
      </c>
      <c r="J127" s="53" t="s">
        <v>864</v>
      </c>
      <c r="K127" s="84" t="s">
        <v>864</v>
      </c>
      <c r="L127" s="73"/>
      <c r="M127" s="73"/>
      <c r="N127" s="74"/>
    </row>
    <row r="128" spans="1:14">
      <c r="A128" s="94"/>
      <c r="B128" s="95"/>
      <c r="C128" s="95"/>
      <c r="D128" s="95"/>
      <c r="E128" s="95"/>
      <c r="F128" s="95"/>
      <c r="G128" s="95"/>
      <c r="H128" s="95"/>
      <c r="I128" s="95"/>
      <c r="J128" s="73"/>
      <c r="K128" s="73"/>
      <c r="L128" s="73"/>
      <c r="M128" s="73"/>
      <c r="N128" s="74"/>
    </row>
    <row r="129" spans="1:23">
      <c r="A129" s="94"/>
      <c r="B129" s="95"/>
      <c r="C129" s="95"/>
      <c r="D129" s="95"/>
      <c r="E129" s="95"/>
      <c r="F129" s="95"/>
      <c r="G129" s="95"/>
      <c r="H129" s="95"/>
      <c r="I129" s="95"/>
      <c r="J129" s="73"/>
      <c r="K129" s="73"/>
      <c r="L129" s="73"/>
      <c r="M129" s="73"/>
      <c r="N129" s="74"/>
    </row>
    <row r="130" spans="1:23">
      <c r="A130" s="94"/>
      <c r="B130" s="95"/>
      <c r="C130" s="95"/>
      <c r="D130" s="95"/>
      <c r="E130" s="95"/>
      <c r="F130" s="95"/>
      <c r="G130" s="95"/>
      <c r="H130" s="95"/>
      <c r="I130" s="95"/>
      <c r="J130" s="73"/>
      <c r="K130" s="73"/>
      <c r="L130" s="73"/>
      <c r="M130" s="73"/>
      <c r="N130" s="74"/>
    </row>
    <row r="131" spans="1:23">
      <c r="A131" s="94"/>
      <c r="B131" s="95"/>
      <c r="C131" s="95"/>
      <c r="D131" s="95"/>
      <c r="E131" s="95"/>
      <c r="F131" s="95"/>
      <c r="G131" s="95"/>
      <c r="H131" s="95"/>
      <c r="I131" s="95"/>
      <c r="J131" s="73"/>
      <c r="K131" s="73"/>
      <c r="L131" s="73"/>
      <c r="M131" s="73"/>
      <c r="N131" s="74"/>
    </row>
    <row r="132" spans="1:23">
      <c r="A132" s="94"/>
      <c r="B132" s="95"/>
      <c r="C132" s="95"/>
      <c r="D132" s="95"/>
      <c r="E132" s="95"/>
      <c r="F132" s="95"/>
      <c r="G132" s="95"/>
      <c r="H132" s="95"/>
      <c r="I132" s="95"/>
      <c r="J132" s="73"/>
      <c r="K132" s="73"/>
      <c r="L132" s="73"/>
      <c r="M132" s="73"/>
      <c r="N132" s="74"/>
    </row>
    <row r="133" spans="1:23">
      <c r="A133" s="94"/>
      <c r="B133" s="95"/>
      <c r="C133" s="95"/>
      <c r="D133" s="95"/>
      <c r="E133" s="95"/>
      <c r="F133" s="95"/>
      <c r="G133" s="95"/>
      <c r="H133" s="95"/>
      <c r="I133" s="95"/>
      <c r="J133" s="73"/>
      <c r="K133" s="73"/>
      <c r="L133" s="73"/>
      <c r="M133" s="73"/>
      <c r="N133" s="74"/>
    </row>
    <row r="134" spans="1:23">
      <c r="A134" s="94"/>
      <c r="B134" s="95"/>
      <c r="C134" s="95"/>
      <c r="D134" s="95"/>
      <c r="E134" s="95"/>
      <c r="F134" s="95"/>
      <c r="G134" s="95"/>
      <c r="H134" s="95"/>
      <c r="I134" s="95"/>
      <c r="J134" s="73"/>
      <c r="K134" s="73"/>
      <c r="L134" s="73"/>
      <c r="M134" s="73"/>
      <c r="N134" s="74"/>
    </row>
    <row r="135" spans="1:23">
      <c r="A135" s="94"/>
      <c r="B135" s="95"/>
      <c r="C135" s="95"/>
      <c r="D135" s="95"/>
      <c r="E135" s="95"/>
      <c r="F135" s="95"/>
      <c r="G135" s="95"/>
      <c r="H135" s="95"/>
      <c r="I135" s="95"/>
      <c r="J135" s="73"/>
      <c r="K135" s="73"/>
      <c r="L135" s="73"/>
      <c r="M135" s="73"/>
      <c r="N135" s="74"/>
    </row>
    <row r="136" spans="1:23">
      <c r="A136" s="94"/>
      <c r="B136" s="95"/>
      <c r="C136" s="95"/>
      <c r="D136" s="95"/>
      <c r="E136" s="95"/>
      <c r="F136" s="95"/>
      <c r="G136" s="95"/>
      <c r="H136" s="95"/>
      <c r="I136" s="95"/>
      <c r="J136" s="73"/>
      <c r="K136" s="73"/>
      <c r="L136" s="73"/>
      <c r="M136" s="100"/>
      <c r="N136" s="74"/>
    </row>
    <row r="137" spans="1:23">
      <c r="A137" s="94"/>
      <c r="B137" s="95"/>
      <c r="C137" s="95"/>
      <c r="D137" s="95"/>
      <c r="E137" s="95"/>
      <c r="F137" s="95"/>
      <c r="G137" s="95"/>
      <c r="H137" s="95"/>
      <c r="I137" s="95"/>
      <c r="J137" s="73"/>
      <c r="K137" s="73"/>
      <c r="L137" s="73"/>
      <c r="M137" s="73"/>
      <c r="N137" s="74"/>
      <c r="S137" s="102"/>
    </row>
    <row r="138" spans="1:23" ht="8.1" customHeight="1">
      <c r="A138" s="94"/>
      <c r="B138" s="95"/>
      <c r="C138" s="95"/>
      <c r="D138" s="95"/>
      <c r="E138" s="95"/>
      <c r="F138" s="95"/>
      <c r="G138" s="95"/>
      <c r="H138" s="95"/>
      <c r="I138" s="95"/>
      <c r="J138" s="73"/>
      <c r="K138" s="73"/>
      <c r="L138" s="73"/>
      <c r="M138" s="73"/>
      <c r="N138" s="74"/>
      <c r="S138" s="102"/>
    </row>
    <row r="139" spans="1:23" ht="8.1" customHeight="1">
      <c r="A139" s="94"/>
      <c r="B139" s="95"/>
      <c r="C139" s="95"/>
      <c r="D139" s="95"/>
      <c r="E139" s="95"/>
      <c r="F139" s="95"/>
      <c r="G139" s="95"/>
      <c r="H139" s="95"/>
      <c r="I139" s="95"/>
      <c r="J139" s="73"/>
      <c r="K139" s="73"/>
      <c r="L139" s="73"/>
      <c r="M139" s="73"/>
      <c r="N139" s="74"/>
      <c r="S139" s="102"/>
    </row>
    <row r="140" spans="1:23">
      <c r="A140" s="94"/>
      <c r="B140" s="95"/>
      <c r="C140" s="95"/>
      <c r="D140" s="95"/>
      <c r="E140" s="95"/>
      <c r="F140" s="95"/>
      <c r="G140" s="95"/>
      <c r="H140" s="95"/>
      <c r="I140" s="95"/>
      <c r="J140" s="73"/>
      <c r="K140" s="95"/>
      <c r="L140" s="95"/>
      <c r="M140" s="95"/>
      <c r="N140" s="74"/>
      <c r="O140" s="101"/>
      <c r="P140" s="102"/>
      <c r="Q140" s="102"/>
      <c r="R140" s="102"/>
      <c r="S140" s="102"/>
      <c r="T140" s="102"/>
      <c r="U140" s="102"/>
      <c r="V140" s="102"/>
      <c r="W140" s="102"/>
    </row>
    <row r="141" spans="1:23">
      <c r="A141" s="94"/>
      <c r="B141" s="95"/>
      <c r="C141" s="95"/>
      <c r="D141" s="95"/>
      <c r="E141" s="95"/>
      <c r="F141" s="95"/>
      <c r="G141" s="95"/>
      <c r="H141" s="95"/>
      <c r="I141" s="95"/>
      <c r="J141" s="73"/>
      <c r="K141" s="95"/>
      <c r="L141" s="95"/>
      <c r="M141" s="95"/>
      <c r="N141" s="74"/>
      <c r="O141" s="101"/>
      <c r="P141" s="102"/>
      <c r="Q141" s="102"/>
      <c r="R141" s="102"/>
      <c r="S141" s="102"/>
      <c r="T141" s="102"/>
      <c r="U141" s="102"/>
      <c r="V141" s="102"/>
      <c r="W141" s="102"/>
    </row>
    <row r="142" spans="1:23">
      <c r="A142" s="94"/>
      <c r="B142" s="95"/>
      <c r="C142" s="95"/>
      <c r="D142" s="95"/>
      <c r="E142" s="95"/>
      <c r="F142" s="95"/>
      <c r="G142" s="95"/>
      <c r="H142" s="95"/>
      <c r="I142" s="95"/>
      <c r="J142" s="73"/>
      <c r="K142" s="95"/>
      <c r="L142" s="95"/>
      <c r="M142" s="95"/>
      <c r="N142" s="74"/>
      <c r="O142" s="101"/>
      <c r="P142" s="102"/>
      <c r="Q142" s="102"/>
      <c r="R142" s="102"/>
      <c r="S142" s="102"/>
      <c r="T142" s="102"/>
      <c r="U142" s="102"/>
      <c r="V142" s="102"/>
      <c r="W142" s="102"/>
    </row>
    <row r="143" spans="1:23">
      <c r="A143" s="94"/>
      <c r="B143" s="95"/>
      <c r="C143" s="95"/>
      <c r="D143" s="95"/>
      <c r="E143" s="95"/>
      <c r="F143" s="95"/>
      <c r="G143" s="95"/>
      <c r="H143" s="95"/>
      <c r="I143" s="95"/>
      <c r="J143" s="73"/>
      <c r="K143" s="95"/>
      <c r="L143" s="95"/>
      <c r="M143" s="95"/>
      <c r="N143" s="74"/>
      <c r="O143" s="101"/>
      <c r="P143" s="102"/>
      <c r="Q143" s="102"/>
      <c r="R143" s="102"/>
      <c r="S143" s="102"/>
      <c r="T143" s="102"/>
      <c r="U143" s="102"/>
      <c r="V143" s="102"/>
      <c r="W143" s="102"/>
    </row>
    <row r="144" spans="1:23">
      <c r="A144" s="94"/>
      <c r="B144" s="95"/>
      <c r="C144" s="95"/>
      <c r="D144" s="95"/>
      <c r="E144" s="95"/>
      <c r="F144" s="95"/>
      <c r="G144" s="95"/>
      <c r="H144" s="95"/>
      <c r="I144" s="95"/>
      <c r="J144" s="73"/>
      <c r="K144" s="95"/>
      <c r="L144" s="95"/>
      <c r="M144" s="95"/>
      <c r="N144" s="74"/>
      <c r="O144" s="101"/>
      <c r="P144" s="102"/>
      <c r="Q144" s="102"/>
      <c r="R144" s="102"/>
      <c r="S144" s="102"/>
      <c r="T144" s="102"/>
      <c r="U144" s="102"/>
      <c r="V144" s="102"/>
      <c r="W144" s="102"/>
    </row>
    <row r="145" spans="1:23">
      <c r="A145" s="94"/>
      <c r="B145" s="95"/>
      <c r="C145" s="95"/>
      <c r="D145" s="95"/>
      <c r="E145" s="95"/>
      <c r="F145" s="95"/>
      <c r="G145" s="95"/>
      <c r="H145" s="95"/>
      <c r="I145" s="95"/>
      <c r="J145" s="73"/>
      <c r="K145" s="95"/>
      <c r="L145" s="103"/>
      <c r="M145" s="95"/>
      <c r="N145" s="74"/>
      <c r="O145" s="101"/>
      <c r="P145" s="102"/>
      <c r="Q145" s="102"/>
      <c r="R145" s="102"/>
      <c r="S145" s="102"/>
      <c r="T145" s="102"/>
      <c r="U145" s="102"/>
      <c r="V145" s="102"/>
      <c r="W145" s="102"/>
    </row>
    <row r="146" spans="1:23">
      <c r="A146" s="94"/>
      <c r="B146" s="95"/>
      <c r="C146" s="95"/>
      <c r="D146" s="95"/>
      <c r="E146" s="95"/>
      <c r="F146" s="95"/>
      <c r="G146" s="95"/>
      <c r="H146" s="95"/>
      <c r="I146" s="95"/>
      <c r="J146" s="73"/>
      <c r="K146" s="95"/>
      <c r="L146" s="95"/>
      <c r="M146" s="95"/>
      <c r="N146" s="74"/>
      <c r="O146" s="101"/>
      <c r="P146" s="102"/>
      <c r="Q146" s="102"/>
      <c r="R146" s="102"/>
      <c r="S146" s="102"/>
      <c r="T146" s="102"/>
      <c r="U146" s="102"/>
      <c r="V146" s="102"/>
      <c r="W146" s="102"/>
    </row>
    <row r="147" spans="1:23">
      <c r="A147" s="94"/>
      <c r="B147" s="95"/>
      <c r="C147" s="95"/>
      <c r="D147" s="95"/>
      <c r="E147" s="95"/>
      <c r="F147" s="95"/>
      <c r="G147" s="95"/>
      <c r="H147" s="95"/>
      <c r="I147" s="95"/>
      <c r="J147" s="73"/>
      <c r="K147" s="95"/>
      <c r="L147" s="95"/>
      <c r="M147" s="95"/>
      <c r="N147" s="74"/>
      <c r="O147" s="101"/>
      <c r="P147" s="102"/>
      <c r="Q147" s="102"/>
      <c r="R147" s="102"/>
      <c r="S147" s="102"/>
      <c r="T147" s="102"/>
      <c r="U147" s="102"/>
      <c r="V147" s="102"/>
      <c r="W147" s="102"/>
    </row>
    <row r="148" spans="1:23">
      <c r="A148" s="94"/>
      <c r="B148" s="95"/>
      <c r="C148" s="95"/>
      <c r="D148" s="95"/>
      <c r="E148" s="95"/>
      <c r="F148" s="95"/>
      <c r="G148" s="95"/>
      <c r="H148" s="95"/>
      <c r="I148" s="95"/>
      <c r="J148" s="73"/>
      <c r="K148" s="95"/>
      <c r="L148" s="95"/>
      <c r="M148" s="95"/>
      <c r="N148" s="74"/>
      <c r="O148" s="101"/>
      <c r="P148" s="102"/>
      <c r="Q148" s="102"/>
      <c r="R148" s="102"/>
      <c r="S148" s="102"/>
      <c r="T148" s="102"/>
      <c r="U148" s="102"/>
      <c r="V148" s="102"/>
      <c r="W148" s="102"/>
    </row>
    <row r="149" spans="1:23">
      <c r="A149" s="94"/>
      <c r="B149" s="95"/>
      <c r="C149" s="95"/>
      <c r="D149" s="95"/>
      <c r="E149" s="95"/>
      <c r="F149" s="95"/>
      <c r="G149" s="95"/>
      <c r="H149" s="95"/>
      <c r="I149" s="95"/>
      <c r="J149" s="73"/>
      <c r="K149" s="95"/>
      <c r="L149" s="95"/>
      <c r="M149" s="95"/>
      <c r="N149" s="74"/>
      <c r="O149" s="101"/>
      <c r="P149" s="102"/>
      <c r="Q149" s="102"/>
      <c r="R149" s="102"/>
      <c r="S149" s="102"/>
      <c r="T149" s="102"/>
      <c r="U149" s="102"/>
      <c r="V149" s="102"/>
      <c r="W149" s="102"/>
    </row>
    <row r="150" spans="1:23">
      <c r="A150" s="94"/>
      <c r="B150" s="95"/>
      <c r="C150" s="95"/>
      <c r="D150" s="95"/>
      <c r="E150" s="95"/>
      <c r="F150" s="95"/>
      <c r="G150" s="95"/>
      <c r="H150" s="95"/>
      <c r="I150" s="95"/>
      <c r="J150" s="73"/>
      <c r="K150" s="95"/>
      <c r="L150" s="95"/>
      <c r="M150" s="95"/>
      <c r="N150" s="74"/>
      <c r="O150" s="102"/>
      <c r="P150" s="102"/>
      <c r="Q150" s="102"/>
      <c r="R150" s="102"/>
      <c r="S150" s="102"/>
      <c r="T150" s="102"/>
      <c r="U150" s="102"/>
      <c r="V150" s="102"/>
      <c r="W150" s="102"/>
    </row>
    <row r="151" spans="1:23">
      <c r="A151" s="94"/>
      <c r="B151" s="95"/>
      <c r="C151" s="95"/>
      <c r="D151" s="95"/>
      <c r="E151" s="95"/>
      <c r="F151" s="73"/>
      <c r="G151" s="73"/>
      <c r="H151" s="73"/>
      <c r="I151" s="73"/>
      <c r="J151" s="73"/>
      <c r="K151" s="95"/>
      <c r="L151" s="95"/>
      <c r="M151" s="95"/>
      <c r="N151" s="74"/>
      <c r="O151" s="101"/>
      <c r="P151" s="102"/>
      <c r="Q151" s="102"/>
      <c r="R151" s="102"/>
      <c r="S151" s="102"/>
      <c r="T151" s="102"/>
      <c r="U151" s="102"/>
      <c r="V151" s="102"/>
      <c r="W151" s="102"/>
    </row>
    <row r="152" spans="1:23">
      <c r="A152" s="94"/>
      <c r="B152" s="95"/>
      <c r="C152" s="95"/>
      <c r="D152" s="95"/>
      <c r="E152" s="95"/>
      <c r="F152" s="73"/>
      <c r="G152" s="73"/>
      <c r="H152" s="73"/>
      <c r="I152" s="73"/>
      <c r="J152" s="73"/>
      <c r="K152" s="95"/>
      <c r="L152" s="95"/>
      <c r="M152" s="95"/>
      <c r="N152" s="74"/>
      <c r="O152" s="101"/>
      <c r="P152" s="102"/>
      <c r="Q152" s="102"/>
      <c r="R152" s="102"/>
      <c r="S152" s="102"/>
      <c r="T152" s="102"/>
      <c r="U152" s="102"/>
      <c r="V152" s="102"/>
      <c r="W152" s="102"/>
    </row>
    <row r="153" spans="1:23">
      <c r="A153" s="94"/>
      <c r="B153" s="95"/>
      <c r="C153" s="95"/>
      <c r="D153" s="95"/>
      <c r="E153" s="95"/>
      <c r="F153" s="73"/>
      <c r="G153" s="73"/>
      <c r="H153" s="73"/>
      <c r="I153" s="73"/>
      <c r="J153" s="73"/>
      <c r="K153" s="95"/>
      <c r="L153" s="95"/>
      <c r="M153" s="95"/>
      <c r="N153" s="74"/>
      <c r="O153" s="101"/>
      <c r="P153" s="102"/>
      <c r="Q153" s="102"/>
      <c r="R153" s="102"/>
      <c r="S153" s="102"/>
      <c r="T153" s="102"/>
      <c r="U153" s="102"/>
      <c r="V153" s="102"/>
      <c r="W153" s="102"/>
    </row>
    <row r="154" spans="1:23">
      <c r="A154" s="94"/>
      <c r="B154" s="95"/>
      <c r="C154" s="95"/>
      <c r="D154" s="95"/>
      <c r="E154" s="95"/>
      <c r="F154" s="73"/>
      <c r="G154" s="73"/>
      <c r="H154" s="73"/>
      <c r="I154" s="73"/>
      <c r="J154" s="73"/>
      <c r="K154" s="95"/>
      <c r="L154" s="95"/>
      <c r="M154" s="95"/>
      <c r="N154" s="74"/>
      <c r="O154" s="101"/>
      <c r="P154" s="102"/>
      <c r="Q154" s="102"/>
      <c r="R154" s="102"/>
      <c r="S154" s="102"/>
      <c r="T154" s="102"/>
      <c r="U154" s="102"/>
      <c r="V154" s="102"/>
      <c r="W154" s="102"/>
    </row>
    <row r="155" spans="1:23">
      <c r="A155" s="94"/>
      <c r="B155" s="95"/>
      <c r="C155" s="95"/>
      <c r="D155" s="95"/>
      <c r="E155" s="95"/>
      <c r="F155" s="73"/>
      <c r="G155" s="73"/>
      <c r="H155" s="73"/>
      <c r="I155" s="73"/>
      <c r="J155" s="73"/>
      <c r="K155" s="95"/>
      <c r="L155" s="95"/>
      <c r="M155" s="95"/>
      <c r="N155" s="74"/>
      <c r="O155" s="101"/>
      <c r="P155" s="102"/>
      <c r="Q155" s="102"/>
      <c r="R155" s="102"/>
      <c r="S155" s="102"/>
      <c r="T155" s="102"/>
      <c r="U155" s="102"/>
      <c r="V155" s="102"/>
      <c r="W155" s="102"/>
    </row>
    <row r="156" spans="1:23">
      <c r="A156" s="94"/>
      <c r="B156" s="95"/>
      <c r="C156" s="95"/>
      <c r="D156" s="95"/>
      <c r="E156" s="95"/>
      <c r="F156" s="73"/>
      <c r="G156" s="73"/>
      <c r="H156" s="73"/>
      <c r="I156" s="73"/>
      <c r="J156" s="73"/>
      <c r="K156" s="95"/>
      <c r="L156" s="95"/>
      <c r="M156" s="95"/>
      <c r="N156" s="74"/>
      <c r="O156" s="101"/>
      <c r="P156" s="102"/>
      <c r="Q156" s="102"/>
      <c r="R156" s="102"/>
      <c r="S156" s="102"/>
      <c r="T156" s="102"/>
      <c r="U156" s="102"/>
      <c r="V156" s="102"/>
      <c r="W156" s="102"/>
    </row>
    <row r="157" spans="1:23">
      <c r="A157" s="94"/>
      <c r="B157" s="95"/>
      <c r="C157" s="95"/>
      <c r="D157" s="95"/>
      <c r="E157" s="95"/>
      <c r="F157" s="73"/>
      <c r="G157" s="73"/>
      <c r="H157" s="73"/>
      <c r="I157" s="73"/>
      <c r="J157" s="73"/>
      <c r="K157" s="95"/>
      <c r="L157" s="95"/>
      <c r="M157" s="95"/>
      <c r="N157" s="74"/>
      <c r="O157" s="101"/>
      <c r="P157" s="102"/>
      <c r="Q157" s="102"/>
      <c r="R157" s="102"/>
      <c r="S157" s="102"/>
      <c r="T157" s="102"/>
      <c r="U157" s="102"/>
      <c r="V157" s="102"/>
      <c r="W157" s="102"/>
    </row>
    <row r="158" spans="1:23">
      <c r="A158" s="94"/>
      <c r="B158" s="95"/>
      <c r="C158" s="95"/>
      <c r="D158" s="95"/>
      <c r="E158" s="95"/>
      <c r="F158" s="73"/>
      <c r="G158" s="73"/>
      <c r="H158" s="73"/>
      <c r="I158" s="73"/>
      <c r="J158" s="73"/>
      <c r="K158" s="95"/>
      <c r="L158" s="95"/>
      <c r="M158" s="95"/>
      <c r="N158" s="74"/>
      <c r="O158" s="101"/>
      <c r="P158" s="102"/>
      <c r="Q158" s="102"/>
      <c r="R158" s="102"/>
      <c r="S158" s="102"/>
      <c r="T158" s="102"/>
      <c r="U158" s="102"/>
      <c r="V158" s="102"/>
      <c r="W158" s="102"/>
    </row>
    <row r="159" spans="1:23" hidden="1">
      <c r="A159" s="94"/>
      <c r="B159" s="95"/>
      <c r="C159" s="95"/>
      <c r="D159" s="95"/>
      <c r="E159" s="95"/>
      <c r="F159" s="73"/>
      <c r="G159" s="73"/>
      <c r="H159" s="73"/>
      <c r="I159" s="73"/>
      <c r="J159" s="73"/>
      <c r="K159" s="95"/>
      <c r="L159" s="95"/>
      <c r="M159" s="95"/>
      <c r="N159" s="74"/>
      <c r="O159" s="101"/>
      <c r="P159" s="102"/>
      <c r="Q159" s="102"/>
      <c r="R159" s="102"/>
      <c r="S159" s="102"/>
      <c r="T159" s="102"/>
      <c r="U159" s="102"/>
      <c r="V159" s="102"/>
      <c r="W159" s="102"/>
    </row>
    <row r="160" spans="1:23" hidden="1">
      <c r="A160" s="94"/>
      <c r="B160" s="95"/>
      <c r="C160" s="95"/>
      <c r="D160" s="95"/>
      <c r="E160" s="95"/>
      <c r="F160" s="73"/>
      <c r="G160" s="73"/>
      <c r="H160" s="73"/>
      <c r="I160" s="73"/>
      <c r="J160" s="73"/>
      <c r="K160" s="95"/>
      <c r="L160" s="95"/>
      <c r="M160" s="95"/>
      <c r="N160" s="74"/>
      <c r="O160" s="101"/>
      <c r="P160" s="102"/>
      <c r="Q160" s="102"/>
      <c r="R160" s="102"/>
      <c r="S160" s="102"/>
      <c r="T160" s="102"/>
      <c r="U160" s="102"/>
      <c r="V160" s="102"/>
      <c r="W160" s="102"/>
    </row>
    <row r="161" spans="1:23" hidden="1">
      <c r="A161" s="94"/>
      <c r="B161" s="95"/>
      <c r="C161" s="95"/>
      <c r="D161" s="95"/>
      <c r="E161" s="95"/>
      <c r="F161" s="73"/>
      <c r="G161" s="73"/>
      <c r="H161" s="73"/>
      <c r="I161" s="73"/>
      <c r="J161" s="73"/>
      <c r="K161" s="95"/>
      <c r="L161" s="95"/>
      <c r="M161" s="95"/>
      <c r="N161" s="74"/>
      <c r="O161" s="101"/>
      <c r="P161" s="102"/>
      <c r="Q161" s="102"/>
      <c r="R161" s="102"/>
      <c r="S161" s="102"/>
      <c r="T161" s="102"/>
      <c r="U161" s="102"/>
      <c r="V161" s="102"/>
      <c r="W161" s="102"/>
    </row>
    <row r="162" spans="1:23" hidden="1">
      <c r="A162" s="94"/>
      <c r="B162" s="95"/>
      <c r="C162" s="95"/>
      <c r="D162" s="95"/>
      <c r="E162" s="95"/>
      <c r="F162" s="73"/>
      <c r="G162" s="73"/>
      <c r="H162" s="73"/>
      <c r="I162" s="73"/>
      <c r="J162" s="73"/>
      <c r="K162" s="95"/>
      <c r="L162" s="95"/>
      <c r="M162" s="95"/>
      <c r="N162" s="74"/>
      <c r="O162" s="101"/>
      <c r="P162" s="102"/>
      <c r="Q162" s="102"/>
      <c r="R162" s="102"/>
      <c r="S162" s="102"/>
      <c r="T162" s="102"/>
      <c r="U162" s="102"/>
      <c r="V162" s="102"/>
      <c r="W162" s="102"/>
    </row>
    <row r="163" spans="1:23">
      <c r="A163" s="94"/>
      <c r="B163" s="95"/>
      <c r="C163" s="95"/>
      <c r="D163" s="95"/>
      <c r="E163" s="95"/>
      <c r="F163" s="73"/>
      <c r="G163" s="73"/>
      <c r="H163" s="73"/>
      <c r="I163" s="73"/>
      <c r="J163" s="73"/>
      <c r="K163" s="95"/>
      <c r="L163" s="95"/>
      <c r="M163" s="95"/>
      <c r="N163" s="73"/>
      <c r="O163" s="101"/>
      <c r="P163" s="102"/>
      <c r="Q163" s="102"/>
      <c r="R163" s="102"/>
      <c r="S163" s="102"/>
      <c r="T163" s="102"/>
      <c r="U163" s="102"/>
      <c r="V163" s="102"/>
      <c r="W163" s="102"/>
    </row>
    <row r="164" spans="1:23">
      <c r="A164" s="94"/>
      <c r="B164" s="95"/>
      <c r="C164" s="95"/>
      <c r="D164" s="95"/>
      <c r="E164" s="95"/>
      <c r="F164" s="73"/>
      <c r="G164" s="73"/>
      <c r="H164" s="73"/>
      <c r="I164" s="73"/>
      <c r="J164" s="73"/>
      <c r="K164" s="95"/>
      <c r="L164" s="95"/>
      <c r="M164" s="95"/>
      <c r="N164" s="73"/>
      <c r="O164" s="101"/>
      <c r="P164" s="102"/>
      <c r="Q164" s="102"/>
      <c r="R164" s="102"/>
      <c r="S164" s="102"/>
      <c r="T164" s="102"/>
      <c r="U164" s="102"/>
      <c r="V164" s="102"/>
      <c r="W164" s="102"/>
    </row>
    <row r="165" spans="1:23">
      <c r="A165" s="94"/>
      <c r="B165" s="95"/>
      <c r="C165" s="95"/>
      <c r="D165" s="95"/>
      <c r="E165" s="95"/>
      <c r="F165" s="73"/>
      <c r="G165" s="73"/>
      <c r="H165" s="73"/>
      <c r="I165" s="73"/>
      <c r="J165" s="73"/>
      <c r="K165" s="95"/>
      <c r="L165" s="95"/>
      <c r="M165" s="95"/>
      <c r="N165" s="74"/>
      <c r="O165" s="101"/>
      <c r="P165" s="102"/>
      <c r="Q165" s="102"/>
      <c r="R165" s="102"/>
      <c r="S165" s="102"/>
      <c r="T165" s="102"/>
      <c r="U165" s="102"/>
      <c r="V165" s="102"/>
      <c r="W165" s="102"/>
    </row>
    <row r="166" spans="1:23">
      <c r="A166" s="94"/>
      <c r="B166" s="599"/>
      <c r="C166" s="95"/>
      <c r="D166" s="95"/>
      <c r="E166" s="73"/>
      <c r="F166" s="95"/>
      <c r="G166" s="73"/>
      <c r="H166" s="95"/>
      <c r="I166" s="95"/>
      <c r="J166" s="73"/>
      <c r="K166" s="73"/>
      <c r="L166" s="95"/>
      <c r="M166" s="73"/>
      <c r="N166" s="95"/>
      <c r="O166" s="101"/>
      <c r="P166" s="102"/>
      <c r="Q166" s="102"/>
      <c r="R166" s="102"/>
      <c r="S166" s="102"/>
      <c r="T166" s="102"/>
      <c r="U166" s="102"/>
      <c r="V166" s="102"/>
      <c r="W166" s="102"/>
    </row>
    <row r="167" spans="1:23">
      <c r="A167" s="94"/>
      <c r="B167" s="600"/>
      <c r="C167" s="95"/>
      <c r="D167" s="95"/>
      <c r="E167" s="95"/>
      <c r="F167" s="73"/>
      <c r="G167" s="73"/>
      <c r="H167" s="73"/>
      <c r="I167" s="73"/>
      <c r="J167" s="73"/>
      <c r="K167" s="95"/>
      <c r="L167" s="95"/>
      <c r="M167" s="95"/>
      <c r="N167" s="95"/>
      <c r="O167" s="101"/>
      <c r="P167" s="102"/>
      <c r="Q167" s="102"/>
      <c r="R167" s="102"/>
      <c r="S167" s="102"/>
      <c r="T167" s="102"/>
      <c r="U167" s="102"/>
      <c r="V167" s="102"/>
      <c r="W167" s="102"/>
    </row>
    <row r="168" spans="1:23">
      <c r="A168" s="94"/>
      <c r="B168" s="95"/>
      <c r="C168" s="95"/>
      <c r="D168" s="95"/>
      <c r="E168" s="95"/>
      <c r="F168" s="73"/>
      <c r="G168" s="73"/>
      <c r="H168" s="73"/>
      <c r="I168" s="73"/>
      <c r="J168" s="73"/>
      <c r="K168" s="95"/>
      <c r="L168" s="95"/>
      <c r="M168" s="95"/>
      <c r="N168" s="74"/>
      <c r="O168" s="101"/>
      <c r="P168" s="102"/>
      <c r="Q168" s="102"/>
      <c r="R168" s="102"/>
      <c r="S168" s="102"/>
      <c r="T168" s="102"/>
      <c r="U168" s="102"/>
      <c r="V168" s="102"/>
      <c r="W168" s="102"/>
    </row>
    <row r="169" spans="1:23">
      <c r="A169" s="94"/>
      <c r="B169" s="95"/>
      <c r="C169" s="95"/>
      <c r="D169" s="95"/>
      <c r="E169" s="95"/>
      <c r="F169" s="73"/>
      <c r="G169" s="73"/>
      <c r="H169" s="73"/>
      <c r="I169" s="73"/>
      <c r="J169" s="73"/>
      <c r="K169" s="95"/>
      <c r="L169" s="95"/>
      <c r="M169" s="95"/>
      <c r="N169" s="74"/>
      <c r="O169" s="101"/>
      <c r="P169" s="102"/>
      <c r="Q169" s="102"/>
      <c r="R169" s="102"/>
      <c r="S169" s="102"/>
      <c r="T169" s="102"/>
      <c r="U169" s="102"/>
      <c r="V169" s="102"/>
      <c r="W169" s="102"/>
    </row>
    <row r="170" spans="1:23" hidden="1">
      <c r="A170" s="94"/>
      <c r="B170" s="95"/>
      <c r="C170" s="95"/>
      <c r="D170" s="95"/>
      <c r="E170" s="95"/>
      <c r="F170" s="73"/>
      <c r="G170" s="73"/>
      <c r="H170" s="95"/>
      <c r="I170" s="73"/>
      <c r="J170" s="73"/>
      <c r="K170" s="95"/>
      <c r="L170" s="95"/>
      <c r="M170" s="95"/>
      <c r="N170" s="74"/>
      <c r="O170" s="101"/>
      <c r="P170" s="102"/>
      <c r="Q170" s="102"/>
      <c r="R170" s="102"/>
      <c r="S170" s="102"/>
      <c r="T170" s="102"/>
      <c r="U170" s="102"/>
      <c r="V170" s="102"/>
      <c r="W170" s="102"/>
    </row>
    <row r="171" spans="1:23">
      <c r="A171" s="94" t="s">
        <v>746</v>
      </c>
      <c r="B171" s="95" t="s">
        <v>479</v>
      </c>
      <c r="C171" s="95"/>
      <c r="D171" s="95"/>
      <c r="E171" s="95"/>
      <c r="F171" s="73"/>
      <c r="G171" s="73"/>
      <c r="H171" s="95"/>
      <c r="I171" s="73"/>
      <c r="J171" s="73"/>
      <c r="K171" s="95"/>
      <c r="L171" s="95"/>
      <c r="M171" s="95"/>
      <c r="N171" s="74"/>
      <c r="O171" s="101"/>
      <c r="P171" s="102"/>
      <c r="Q171" s="102"/>
      <c r="R171" s="102"/>
      <c r="S171" s="102"/>
      <c r="T171" s="102"/>
      <c r="U171" s="102"/>
      <c r="V171" s="102"/>
      <c r="W171" s="102"/>
    </row>
    <row r="172" spans="1:23">
      <c r="A172" s="94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74"/>
      <c r="O172" s="101"/>
      <c r="P172" s="102"/>
      <c r="Q172" s="102"/>
      <c r="R172" s="102"/>
      <c r="S172" s="102"/>
      <c r="T172" s="102"/>
      <c r="U172" s="102"/>
      <c r="V172" s="102"/>
      <c r="W172" s="102"/>
    </row>
    <row r="173" spans="1:23">
      <c r="A173" s="94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74"/>
      <c r="O173" s="101"/>
      <c r="P173" s="102"/>
      <c r="Q173" s="102"/>
      <c r="R173" s="102"/>
      <c r="S173" s="102"/>
      <c r="T173" s="102"/>
      <c r="U173" s="102"/>
      <c r="V173" s="102"/>
      <c r="W173" s="102"/>
    </row>
    <row r="174" spans="1:23">
      <c r="A174" s="94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74"/>
      <c r="O174" s="101"/>
      <c r="P174" s="102"/>
      <c r="Q174" s="102"/>
      <c r="R174" s="102"/>
      <c r="S174" s="102"/>
      <c r="T174" s="102"/>
      <c r="U174" s="102"/>
      <c r="V174" s="102"/>
      <c r="W174" s="102"/>
    </row>
    <row r="175" spans="1:23">
      <c r="A175" s="94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74"/>
      <c r="O175" s="101"/>
      <c r="P175" s="102"/>
      <c r="Q175" s="102"/>
      <c r="R175" s="102"/>
      <c r="S175" s="102"/>
      <c r="T175" s="102"/>
      <c r="U175" s="102"/>
      <c r="V175" s="102"/>
      <c r="W175" s="102"/>
    </row>
    <row r="176" spans="1:23">
      <c r="A176" s="94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74"/>
      <c r="O176" s="101"/>
      <c r="P176" s="102"/>
      <c r="Q176" s="102"/>
      <c r="R176" s="102"/>
      <c r="S176" s="102"/>
      <c r="T176" s="102"/>
      <c r="U176" s="102"/>
      <c r="V176" s="102"/>
      <c r="W176" s="102"/>
    </row>
    <row r="177" spans="1:23">
      <c r="A177" s="94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74"/>
      <c r="O177" s="101"/>
      <c r="P177" s="102"/>
      <c r="Q177" s="102"/>
      <c r="R177" s="102"/>
      <c r="S177" s="102"/>
      <c r="T177" s="102"/>
      <c r="U177" s="102"/>
      <c r="V177" s="102"/>
      <c r="W177" s="102"/>
    </row>
    <row r="178" spans="1:23">
      <c r="A178" s="94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74"/>
      <c r="O178" s="101"/>
      <c r="P178" s="102"/>
      <c r="Q178" s="102"/>
      <c r="R178" s="102"/>
      <c r="S178" s="102"/>
      <c r="T178" s="102"/>
      <c r="U178" s="102"/>
      <c r="V178" s="102"/>
      <c r="W178" s="102"/>
    </row>
    <row r="179" spans="1:23">
      <c r="A179" s="94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74"/>
      <c r="O179" s="101"/>
      <c r="P179" s="102"/>
      <c r="Q179" s="102"/>
      <c r="R179" s="102"/>
      <c r="S179" s="102"/>
      <c r="T179" s="102"/>
      <c r="U179" s="102"/>
      <c r="V179" s="102"/>
      <c r="W179" s="102"/>
    </row>
    <row r="180" spans="1:23">
      <c r="A180" s="94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74"/>
      <c r="O180" s="101"/>
      <c r="P180" s="102"/>
      <c r="Q180" s="102"/>
      <c r="R180" s="102"/>
      <c r="S180" s="102"/>
      <c r="T180" s="102"/>
      <c r="U180" s="102"/>
      <c r="V180" s="102"/>
      <c r="W180" s="102"/>
    </row>
    <row r="181" spans="1:23">
      <c r="A181" s="94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101"/>
      <c r="P181" s="102"/>
      <c r="Q181" s="102"/>
      <c r="R181" s="102"/>
      <c r="S181" s="102"/>
      <c r="T181" s="102"/>
      <c r="U181" s="102"/>
      <c r="V181" s="102"/>
      <c r="W181" s="102"/>
    </row>
    <row r="182" spans="1:23">
      <c r="A182" s="94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101"/>
      <c r="P182" s="102"/>
      <c r="Q182" s="102"/>
      <c r="R182" s="102"/>
      <c r="S182" s="102"/>
      <c r="T182" s="102"/>
      <c r="U182" s="102"/>
      <c r="V182" s="102"/>
      <c r="W182" s="102"/>
    </row>
    <row r="183" spans="1:23">
      <c r="A183" s="94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74"/>
      <c r="O183" s="101"/>
      <c r="P183" s="102"/>
      <c r="Q183" s="102"/>
      <c r="R183" s="102"/>
      <c r="S183" s="102"/>
      <c r="T183" s="102"/>
      <c r="U183" s="102"/>
      <c r="V183" s="102"/>
      <c r="W183" s="102"/>
    </row>
    <row r="184" spans="1:23">
      <c r="A184" s="94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74"/>
      <c r="O184" s="101"/>
      <c r="P184" s="102"/>
      <c r="Q184" s="102"/>
      <c r="R184" s="102"/>
      <c r="S184" s="102"/>
      <c r="T184" s="102"/>
      <c r="U184" s="102"/>
      <c r="V184" s="102"/>
      <c r="W184" s="102"/>
    </row>
    <row r="185" spans="1:23">
      <c r="A185" s="94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74"/>
      <c r="O185" s="101"/>
      <c r="P185" s="102"/>
      <c r="Q185" s="102"/>
      <c r="R185" s="102"/>
      <c r="S185" s="102"/>
      <c r="T185" s="102"/>
      <c r="U185" s="102"/>
      <c r="V185" s="102"/>
      <c r="W185" s="102"/>
    </row>
    <row r="186" spans="1:23">
      <c r="A186" s="94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74"/>
      <c r="O186" s="101"/>
      <c r="P186" s="102"/>
      <c r="Q186" s="102"/>
      <c r="R186" s="102"/>
      <c r="S186" s="102"/>
      <c r="T186" s="102"/>
      <c r="U186" s="102"/>
      <c r="V186" s="102"/>
      <c r="W186" s="102"/>
    </row>
    <row r="187" spans="1:23">
      <c r="A187" s="94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74"/>
      <c r="O187" s="101"/>
      <c r="P187" s="102"/>
      <c r="Q187" s="102"/>
      <c r="R187" s="102"/>
      <c r="S187" s="102"/>
      <c r="T187" s="102"/>
      <c r="U187" s="102"/>
      <c r="V187" s="102"/>
      <c r="W187" s="102"/>
    </row>
    <row r="188" spans="1:23">
      <c r="A188" s="94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74"/>
      <c r="O188" s="101"/>
      <c r="P188" s="102"/>
      <c r="Q188" s="102"/>
      <c r="R188" s="102"/>
      <c r="S188" s="102"/>
      <c r="T188" s="102"/>
      <c r="U188" s="102"/>
      <c r="V188" s="102"/>
      <c r="W188" s="102"/>
    </row>
    <row r="189" spans="1:23" hidden="1">
      <c r="A189" s="94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74"/>
      <c r="O189" s="101"/>
      <c r="P189" s="102"/>
      <c r="Q189" s="102"/>
      <c r="R189" s="102"/>
      <c r="S189" s="102"/>
      <c r="T189" s="102"/>
      <c r="U189" s="102"/>
      <c r="V189" s="102"/>
      <c r="W189" s="102"/>
    </row>
    <row r="190" spans="1:23" hidden="1">
      <c r="A190" s="94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74"/>
      <c r="O190" s="101"/>
      <c r="P190" s="102"/>
      <c r="Q190" s="102"/>
      <c r="R190" s="102"/>
      <c r="S190" s="102"/>
      <c r="T190" s="102"/>
      <c r="U190" s="102"/>
      <c r="V190" s="102"/>
      <c r="W190" s="102"/>
    </row>
    <row r="191" spans="1:23">
      <c r="A191" s="94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74"/>
      <c r="O191" s="101"/>
      <c r="P191" s="102"/>
      <c r="Q191" s="102"/>
      <c r="R191" s="102"/>
      <c r="S191" s="102"/>
      <c r="T191" s="102"/>
      <c r="U191" s="102"/>
      <c r="V191" s="102"/>
      <c r="W191" s="102"/>
    </row>
    <row r="192" spans="1:23">
      <c r="A192" s="94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74"/>
      <c r="O192" s="101"/>
      <c r="P192" s="102"/>
      <c r="Q192" s="102"/>
      <c r="R192" s="102"/>
      <c r="S192" s="102"/>
      <c r="T192" s="102"/>
      <c r="U192" s="102"/>
      <c r="V192" s="102"/>
      <c r="W192" s="102"/>
    </row>
    <row r="193" spans="1:23">
      <c r="A193" s="94"/>
      <c r="B193" s="95"/>
      <c r="C193" s="95"/>
      <c r="D193" s="95"/>
      <c r="E193" s="95"/>
      <c r="F193" s="95"/>
      <c r="G193" s="104"/>
      <c r="H193" s="95"/>
      <c r="I193" s="95"/>
      <c r="J193" s="95"/>
      <c r="K193" s="95"/>
      <c r="L193" s="95"/>
      <c r="M193" s="95"/>
      <c r="N193" s="74"/>
      <c r="O193" s="101"/>
      <c r="P193" s="102"/>
      <c r="Q193" s="102"/>
      <c r="R193" s="102"/>
      <c r="S193" s="102"/>
      <c r="T193" s="102"/>
      <c r="U193" s="102"/>
      <c r="V193" s="102"/>
      <c r="W193" s="102"/>
    </row>
    <row r="194" spans="1:23">
      <c r="A194" s="94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74"/>
      <c r="O194" s="101"/>
      <c r="P194" s="102"/>
      <c r="Q194" s="102"/>
      <c r="R194" s="102"/>
      <c r="S194" s="102"/>
      <c r="T194" s="102"/>
      <c r="U194" s="102"/>
      <c r="V194" s="102"/>
      <c r="W194" s="102"/>
    </row>
    <row r="195" spans="1:23">
      <c r="A195" s="94"/>
      <c r="B195" s="95"/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74"/>
      <c r="O195" s="101"/>
      <c r="P195" s="102"/>
      <c r="Q195" s="102"/>
      <c r="R195" s="102"/>
      <c r="S195" s="102"/>
      <c r="T195" s="102"/>
      <c r="U195" s="102"/>
      <c r="V195" s="102"/>
      <c r="W195" s="102"/>
    </row>
    <row r="196" spans="1:23">
      <c r="A196" s="94"/>
      <c r="B196" s="95"/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74"/>
      <c r="O196" s="101"/>
      <c r="P196" s="102"/>
      <c r="Q196" s="102"/>
      <c r="R196" s="102"/>
      <c r="S196" s="102"/>
      <c r="T196" s="102"/>
      <c r="U196" s="102"/>
      <c r="V196" s="102"/>
      <c r="W196" s="102"/>
    </row>
    <row r="197" spans="1:23">
      <c r="A197" s="94"/>
      <c r="B197" s="95"/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74"/>
      <c r="O197" s="101"/>
      <c r="P197" s="102"/>
      <c r="Q197" s="102"/>
      <c r="R197" s="102"/>
      <c r="S197" s="102"/>
      <c r="T197" s="102"/>
      <c r="U197" s="102"/>
      <c r="V197" s="102"/>
      <c r="W197" s="102"/>
    </row>
    <row r="198" spans="1:23">
      <c r="A198" s="94"/>
      <c r="B198" s="95"/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74"/>
      <c r="O198" s="101"/>
      <c r="P198" s="102"/>
      <c r="Q198" s="102"/>
      <c r="R198" s="102"/>
      <c r="S198" s="102"/>
      <c r="T198" s="102"/>
      <c r="U198" s="102"/>
      <c r="V198" s="102"/>
      <c r="W198" s="102"/>
    </row>
    <row r="199" spans="1:23" hidden="1">
      <c r="A199" s="94"/>
      <c r="B199" s="95"/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74"/>
      <c r="O199" s="101"/>
      <c r="P199" s="102"/>
      <c r="Q199" s="102"/>
      <c r="R199" s="102"/>
      <c r="S199" s="102"/>
      <c r="T199" s="102"/>
      <c r="U199" s="102"/>
      <c r="V199" s="102"/>
      <c r="W199" s="102"/>
    </row>
    <row r="200" spans="1:23" hidden="1">
      <c r="A200" s="94"/>
      <c r="B200" s="95"/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74"/>
      <c r="O200" s="101"/>
      <c r="P200" s="102"/>
      <c r="Q200" s="102"/>
      <c r="R200" s="102"/>
      <c r="S200" s="102"/>
      <c r="T200" s="102"/>
      <c r="U200" s="102"/>
      <c r="V200" s="102"/>
      <c r="W200" s="102"/>
    </row>
    <row r="201" spans="1:23">
      <c r="A201" s="94"/>
      <c r="B201" s="95"/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74"/>
      <c r="O201" s="101"/>
      <c r="P201" s="102"/>
      <c r="Q201" s="102"/>
      <c r="R201" s="102"/>
      <c r="S201" s="102"/>
      <c r="T201" s="102"/>
      <c r="U201" s="102"/>
      <c r="V201" s="102"/>
      <c r="W201" s="102"/>
    </row>
    <row r="202" spans="1:23">
      <c r="A202" s="94"/>
      <c r="B202" s="95"/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74"/>
      <c r="O202" s="101"/>
      <c r="P202" s="102"/>
      <c r="Q202" s="102"/>
      <c r="R202" s="102"/>
      <c r="S202" s="102"/>
      <c r="T202" s="102"/>
      <c r="U202" s="102"/>
      <c r="V202" s="102"/>
      <c r="W202" s="102"/>
    </row>
    <row r="203" spans="1:23">
      <c r="A203" s="94"/>
      <c r="B203" s="95"/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74"/>
      <c r="O203" s="101"/>
      <c r="P203" s="102"/>
      <c r="Q203" s="102"/>
      <c r="R203" s="102"/>
      <c r="S203" s="102"/>
      <c r="T203" s="102"/>
      <c r="U203" s="102"/>
      <c r="V203" s="102"/>
      <c r="W203" s="102"/>
    </row>
    <row r="204" spans="1:23">
      <c r="A204" s="94"/>
      <c r="B204" s="95"/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74"/>
      <c r="O204" s="101"/>
      <c r="P204" s="102"/>
      <c r="Q204" s="102"/>
      <c r="R204" s="102"/>
      <c r="S204" s="102"/>
      <c r="T204" s="102"/>
      <c r="U204" s="102"/>
      <c r="V204" s="102"/>
      <c r="W204" s="102"/>
    </row>
    <row r="205" spans="1:23">
      <c r="A205" s="94"/>
      <c r="B205" s="95"/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74"/>
      <c r="O205" s="101"/>
      <c r="P205" s="102"/>
      <c r="Q205" s="102"/>
      <c r="R205" s="102"/>
      <c r="S205" s="102"/>
      <c r="T205" s="102"/>
      <c r="U205" s="102"/>
      <c r="V205" s="102"/>
      <c r="W205" s="102"/>
    </row>
    <row r="206" spans="1:23">
      <c r="A206" s="94"/>
      <c r="B206" s="95"/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74"/>
      <c r="O206" s="101"/>
      <c r="P206" s="102"/>
      <c r="Q206" s="102"/>
      <c r="R206" s="102"/>
      <c r="S206" s="102"/>
      <c r="T206" s="102"/>
      <c r="U206" s="102"/>
      <c r="V206" s="102"/>
      <c r="W206" s="102"/>
    </row>
    <row r="207" spans="1:23">
      <c r="A207" s="94"/>
      <c r="B207" s="95"/>
      <c r="C207" s="95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74"/>
      <c r="O207" s="101"/>
      <c r="P207" s="102"/>
      <c r="Q207" s="102"/>
      <c r="R207" s="102"/>
      <c r="S207" s="102"/>
      <c r="T207" s="102"/>
      <c r="U207" s="102"/>
      <c r="V207" s="102"/>
      <c r="W207" s="102"/>
    </row>
    <row r="208" spans="1:23">
      <c r="A208" s="94"/>
      <c r="B208" s="95"/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74"/>
      <c r="O208" s="101"/>
      <c r="P208" s="102"/>
      <c r="Q208" s="102"/>
      <c r="R208" s="102"/>
      <c r="S208" s="102"/>
      <c r="T208" s="102"/>
      <c r="U208" s="102"/>
      <c r="V208" s="102"/>
      <c r="W208" s="102"/>
    </row>
    <row r="209" spans="1:23">
      <c r="A209" s="94"/>
      <c r="B209" s="95"/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74"/>
      <c r="O209" s="101"/>
      <c r="P209" s="102"/>
      <c r="Q209" s="102"/>
      <c r="R209" s="102"/>
      <c r="S209" s="102"/>
      <c r="T209" s="102"/>
      <c r="U209" s="102"/>
      <c r="V209" s="102"/>
      <c r="W209" s="102"/>
    </row>
    <row r="210" spans="1:23">
      <c r="A210" s="94"/>
      <c r="B210" s="95"/>
      <c r="C210" s="95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74"/>
      <c r="O210" s="101"/>
      <c r="P210" s="102"/>
      <c r="Q210" s="102"/>
      <c r="R210" s="102"/>
      <c r="S210" s="102"/>
      <c r="T210" s="102"/>
      <c r="U210" s="102"/>
      <c r="V210" s="102"/>
      <c r="W210" s="102"/>
    </row>
    <row r="211" spans="1:23">
      <c r="A211" s="94"/>
      <c r="B211" s="95"/>
      <c r="C211" s="95"/>
      <c r="D211" s="95"/>
      <c r="E211" s="95"/>
      <c r="F211" s="95"/>
      <c r="G211" s="95"/>
      <c r="H211" s="104"/>
      <c r="I211" s="95"/>
      <c r="J211" s="95"/>
      <c r="K211" s="95"/>
      <c r="L211" s="95"/>
      <c r="M211" s="95"/>
      <c r="N211" s="74"/>
      <c r="O211" s="101"/>
      <c r="P211" s="102"/>
      <c r="Q211" s="102"/>
      <c r="R211" s="102"/>
      <c r="S211" s="102"/>
      <c r="T211" s="102"/>
      <c r="U211" s="102"/>
      <c r="V211" s="102"/>
      <c r="W211" s="102"/>
    </row>
    <row r="212" spans="1:23">
      <c r="A212" s="94"/>
      <c r="B212" s="95"/>
      <c r="C212" s="95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74"/>
      <c r="O212" s="101"/>
      <c r="P212" s="102"/>
      <c r="Q212" s="102"/>
      <c r="R212" s="102"/>
      <c r="S212" s="102"/>
      <c r="T212" s="102"/>
      <c r="U212" s="102"/>
      <c r="V212" s="102"/>
      <c r="W212" s="102"/>
    </row>
    <row r="213" spans="1:23" hidden="1">
      <c r="A213" s="94"/>
      <c r="B213" s="95"/>
      <c r="C213" s="95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74"/>
      <c r="O213" s="101"/>
      <c r="P213" s="102"/>
      <c r="Q213" s="102"/>
      <c r="R213" s="102"/>
      <c r="S213" s="102"/>
      <c r="T213" s="102"/>
      <c r="U213" s="102"/>
      <c r="V213" s="102"/>
      <c r="W213" s="102"/>
    </row>
    <row r="214" spans="1:23" hidden="1">
      <c r="A214" s="94"/>
      <c r="B214" s="95"/>
      <c r="C214" s="95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74"/>
      <c r="O214" s="101"/>
      <c r="P214" s="102"/>
      <c r="Q214" s="102"/>
      <c r="R214" s="102"/>
      <c r="S214" s="102"/>
      <c r="T214" s="102"/>
      <c r="U214" s="102"/>
      <c r="V214" s="102"/>
      <c r="W214" s="102"/>
    </row>
    <row r="215" spans="1:23">
      <c r="A215" s="94"/>
      <c r="B215" s="95"/>
      <c r="C215" s="95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74"/>
      <c r="O215" s="101"/>
      <c r="P215" s="102"/>
      <c r="Q215" s="102"/>
      <c r="R215" s="102"/>
      <c r="S215" s="102"/>
      <c r="T215" s="102"/>
      <c r="U215" s="102"/>
      <c r="V215" s="102"/>
      <c r="W215" s="102"/>
    </row>
    <row r="216" spans="1:23">
      <c r="A216" s="94"/>
      <c r="B216" s="95"/>
      <c r="C216" s="95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74"/>
      <c r="O216" s="101"/>
      <c r="P216" s="102"/>
      <c r="Q216" s="102"/>
      <c r="R216" s="102"/>
      <c r="S216" s="102"/>
      <c r="T216" s="102"/>
      <c r="U216" s="102"/>
      <c r="V216" s="102"/>
      <c r="W216" s="102"/>
    </row>
    <row r="217" spans="1:23">
      <c r="A217" s="94"/>
      <c r="B217" s="95"/>
      <c r="C217" s="95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74"/>
      <c r="O217" s="101"/>
      <c r="P217" s="102"/>
      <c r="Q217" s="102"/>
      <c r="R217" s="102"/>
      <c r="S217" s="102"/>
      <c r="T217" s="102"/>
      <c r="U217" s="102"/>
      <c r="V217" s="102"/>
      <c r="W217" s="102"/>
    </row>
    <row r="218" spans="1:23">
      <c r="A218" s="94"/>
      <c r="B218" s="95"/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74"/>
      <c r="O218" s="101"/>
      <c r="P218" s="102"/>
      <c r="Q218" s="102"/>
      <c r="R218" s="102"/>
      <c r="S218" s="102"/>
      <c r="T218" s="102"/>
      <c r="U218" s="102"/>
      <c r="V218" s="102"/>
      <c r="W218" s="102"/>
    </row>
    <row r="219" spans="1:23">
      <c r="A219" s="94"/>
      <c r="B219" s="95"/>
      <c r="C219" s="95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74"/>
      <c r="O219" s="101"/>
      <c r="P219" s="102"/>
      <c r="Q219" s="102"/>
      <c r="R219" s="102"/>
      <c r="S219" s="102"/>
      <c r="T219" s="102"/>
      <c r="U219" s="102"/>
      <c r="V219" s="102"/>
      <c r="W219" s="102"/>
    </row>
    <row r="220" spans="1:23">
      <c r="A220" s="94"/>
      <c r="B220" s="95"/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74"/>
      <c r="O220" s="101"/>
      <c r="P220" s="102"/>
      <c r="Q220" s="102"/>
      <c r="R220" s="102"/>
      <c r="S220" s="102"/>
      <c r="T220" s="102"/>
      <c r="U220" s="102"/>
      <c r="V220" s="102"/>
      <c r="W220" s="102"/>
    </row>
    <row r="221" spans="1:23">
      <c r="A221" s="94"/>
      <c r="B221" s="95"/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74"/>
      <c r="O221" s="101"/>
      <c r="P221" s="102"/>
      <c r="Q221" s="102"/>
      <c r="R221" s="102"/>
      <c r="S221" s="102"/>
      <c r="T221" s="102"/>
      <c r="U221" s="102"/>
      <c r="V221" s="102"/>
      <c r="W221" s="102"/>
    </row>
    <row r="222" spans="1:23">
      <c r="A222" s="94"/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74"/>
      <c r="O222" s="101"/>
      <c r="P222" s="102"/>
      <c r="Q222" s="102"/>
      <c r="R222" s="102"/>
      <c r="S222" s="102"/>
      <c r="T222" s="102"/>
      <c r="U222" s="102"/>
      <c r="V222" s="102"/>
      <c r="W222" s="102"/>
    </row>
    <row r="223" spans="1:23">
      <c r="A223" s="94"/>
      <c r="B223" s="95"/>
      <c r="C223" s="95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74"/>
      <c r="O223" s="101"/>
      <c r="P223" s="102"/>
      <c r="Q223" s="102"/>
      <c r="R223" s="102"/>
      <c r="S223" s="102"/>
      <c r="T223" s="102"/>
      <c r="U223" s="102"/>
      <c r="V223" s="102"/>
      <c r="W223" s="102"/>
    </row>
    <row r="224" spans="1:23">
      <c r="A224" s="94"/>
      <c r="B224" s="95"/>
      <c r="C224" s="95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74"/>
      <c r="O224" s="101"/>
      <c r="P224" s="102"/>
      <c r="Q224" s="102"/>
      <c r="R224" s="102"/>
      <c r="S224" s="102"/>
      <c r="T224" s="102"/>
      <c r="U224" s="102"/>
      <c r="V224" s="102"/>
      <c r="W224" s="102"/>
    </row>
    <row r="225" spans="1:23">
      <c r="A225" s="94"/>
      <c r="B225" s="95"/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74"/>
      <c r="O225" s="101"/>
      <c r="P225" s="102"/>
      <c r="Q225" s="102"/>
      <c r="R225" s="102"/>
      <c r="S225" s="102"/>
      <c r="T225" s="102"/>
      <c r="U225" s="102"/>
      <c r="V225" s="102"/>
      <c r="W225" s="102"/>
    </row>
    <row r="226" spans="1:23">
      <c r="A226" s="94"/>
      <c r="B226" s="95"/>
      <c r="C226" s="95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74"/>
      <c r="O226" s="101"/>
      <c r="P226" s="102"/>
      <c r="Q226" s="102"/>
      <c r="R226" s="102"/>
      <c r="S226" s="102"/>
      <c r="T226" s="102"/>
      <c r="U226" s="102"/>
      <c r="V226" s="102"/>
      <c r="W226" s="102"/>
    </row>
    <row r="227" spans="1:23">
      <c r="A227" s="94"/>
      <c r="B227" s="95"/>
      <c r="C227" s="95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74"/>
      <c r="O227" s="101"/>
      <c r="P227" s="102"/>
      <c r="Q227" s="102"/>
      <c r="R227" s="102"/>
      <c r="S227" s="102"/>
      <c r="T227" s="102"/>
      <c r="U227" s="102"/>
      <c r="V227" s="102"/>
      <c r="W227" s="102"/>
    </row>
    <row r="228" spans="1:23">
      <c r="A228" s="94"/>
      <c r="B228" s="95"/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74"/>
      <c r="O228" s="101"/>
      <c r="P228" s="102"/>
      <c r="Q228" s="102"/>
      <c r="R228" s="102"/>
      <c r="S228" s="102"/>
      <c r="T228" s="102"/>
      <c r="U228" s="102"/>
      <c r="V228" s="102"/>
      <c r="W228" s="102"/>
    </row>
    <row r="229" spans="1:23">
      <c r="A229" s="94"/>
      <c r="B229" s="95"/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74"/>
      <c r="O229" s="101"/>
      <c r="P229" s="102"/>
      <c r="Q229" s="102"/>
      <c r="R229" s="102"/>
      <c r="S229" s="102"/>
      <c r="T229" s="102"/>
      <c r="U229" s="102"/>
      <c r="V229" s="102"/>
      <c r="W229" s="102"/>
    </row>
    <row r="230" spans="1:23">
      <c r="A230" s="94"/>
      <c r="B230" s="95"/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74"/>
      <c r="O230" s="101"/>
      <c r="P230" s="102"/>
      <c r="Q230" s="102"/>
      <c r="R230" s="102"/>
      <c r="S230" s="102"/>
      <c r="T230" s="102"/>
      <c r="U230" s="102"/>
      <c r="V230" s="102"/>
      <c r="W230" s="102"/>
    </row>
    <row r="231" spans="1:23">
      <c r="A231" s="94"/>
      <c r="B231" s="95"/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74"/>
      <c r="O231" s="101"/>
      <c r="P231" s="102"/>
      <c r="Q231" s="102"/>
      <c r="R231" s="102"/>
      <c r="S231" s="102"/>
      <c r="T231" s="102"/>
      <c r="U231" s="102"/>
      <c r="V231" s="102"/>
      <c r="W231" s="102"/>
    </row>
    <row r="232" spans="1:23">
      <c r="A232" s="94"/>
      <c r="B232" s="95"/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74"/>
      <c r="O232" s="101"/>
      <c r="P232" s="102"/>
      <c r="Q232" s="102"/>
      <c r="R232" s="102"/>
      <c r="S232" s="102"/>
      <c r="T232" s="102"/>
      <c r="U232" s="102"/>
      <c r="V232" s="102"/>
      <c r="W232" s="102"/>
    </row>
    <row r="233" spans="1:23">
      <c r="A233" s="94"/>
      <c r="B233" s="95"/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74"/>
      <c r="O233" s="101"/>
      <c r="P233" s="102"/>
      <c r="Q233" s="102"/>
      <c r="R233" s="102"/>
      <c r="S233" s="102"/>
      <c r="T233" s="102"/>
      <c r="U233" s="102"/>
      <c r="V233" s="102"/>
      <c r="W233" s="102"/>
    </row>
    <row r="234" spans="1:23">
      <c r="A234" s="94"/>
      <c r="B234" s="95"/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74"/>
      <c r="O234" s="101"/>
      <c r="P234" s="102"/>
      <c r="Q234" s="102"/>
      <c r="R234" s="102"/>
      <c r="S234" s="102"/>
      <c r="T234" s="102"/>
      <c r="U234" s="102"/>
      <c r="V234" s="102"/>
      <c r="W234" s="102"/>
    </row>
    <row r="235" spans="1:23">
      <c r="A235" s="94"/>
      <c r="B235" s="95"/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74"/>
      <c r="O235" s="101"/>
      <c r="P235" s="102"/>
      <c r="Q235" s="102"/>
      <c r="R235" s="102"/>
      <c r="S235" s="102"/>
      <c r="T235" s="102"/>
      <c r="U235" s="102"/>
      <c r="V235" s="102"/>
      <c r="W235" s="102"/>
    </row>
    <row r="236" spans="1:23">
      <c r="A236" s="94"/>
      <c r="B236" s="95"/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74"/>
      <c r="O236" s="101"/>
      <c r="P236" s="102"/>
      <c r="Q236" s="102"/>
      <c r="R236" s="102"/>
      <c r="S236" s="102"/>
      <c r="T236" s="102"/>
      <c r="U236" s="102"/>
      <c r="V236" s="102"/>
      <c r="W236" s="102"/>
    </row>
    <row r="237" spans="1:23">
      <c r="A237" s="94"/>
      <c r="B237" s="95"/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74"/>
      <c r="O237" s="101"/>
      <c r="P237" s="102"/>
      <c r="Q237" s="102"/>
      <c r="R237" s="102"/>
      <c r="S237" s="102"/>
      <c r="T237" s="102"/>
      <c r="U237" s="102"/>
      <c r="V237" s="102"/>
      <c r="W237" s="102"/>
    </row>
    <row r="238" spans="1:23">
      <c r="A238" s="94"/>
      <c r="B238" s="95"/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74"/>
      <c r="O238" s="101"/>
      <c r="P238" s="102"/>
      <c r="Q238" s="102"/>
      <c r="R238" s="102"/>
      <c r="S238" s="102"/>
      <c r="T238" s="102"/>
      <c r="U238" s="102"/>
      <c r="V238" s="102"/>
      <c r="W238" s="102"/>
    </row>
    <row r="239" spans="1:23">
      <c r="A239" s="94"/>
      <c r="B239" s="95"/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74"/>
      <c r="O239" s="101"/>
      <c r="P239" s="102"/>
      <c r="Q239" s="102"/>
      <c r="R239" s="102"/>
      <c r="S239" s="102"/>
      <c r="T239" s="102"/>
      <c r="U239" s="102"/>
      <c r="V239" s="102"/>
      <c r="W239" s="102"/>
    </row>
    <row r="240" spans="1:23">
      <c r="A240" s="94"/>
      <c r="B240" s="95"/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74"/>
      <c r="O240" s="101"/>
      <c r="P240" s="102"/>
      <c r="Q240" s="102"/>
      <c r="R240" s="102"/>
      <c r="S240" s="102"/>
      <c r="T240" s="102"/>
      <c r="U240" s="102"/>
      <c r="V240" s="102"/>
      <c r="W240" s="102"/>
    </row>
    <row r="241" spans="1:46">
      <c r="A241" s="94"/>
      <c r="B241" s="95"/>
      <c r="C241" s="95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74"/>
      <c r="O241" s="101"/>
      <c r="P241" s="102"/>
      <c r="Q241" s="102"/>
      <c r="R241" s="102"/>
      <c r="S241" s="102"/>
      <c r="T241" s="102"/>
      <c r="U241" s="102"/>
      <c r="V241" s="102"/>
      <c r="W241" s="102"/>
    </row>
    <row r="242" spans="1:46">
      <c r="A242" s="94"/>
      <c r="B242" s="95"/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74"/>
      <c r="O242" s="101"/>
      <c r="P242" s="102"/>
      <c r="Q242" s="102"/>
      <c r="R242" s="102"/>
      <c r="S242" s="102"/>
      <c r="T242" s="102"/>
      <c r="U242" s="102"/>
      <c r="V242" s="102"/>
      <c r="W242" s="102"/>
    </row>
    <row r="243" spans="1:46">
      <c r="A243" s="94"/>
      <c r="B243" s="95"/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74"/>
      <c r="O243" s="101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  <c r="AA243" s="102"/>
      <c r="AB243" s="102"/>
      <c r="AC243" s="102"/>
      <c r="AD243" s="102"/>
      <c r="AE243" s="102"/>
      <c r="AF243" s="102"/>
      <c r="AG243" s="102"/>
      <c r="AH243" s="102"/>
      <c r="AI243" s="102"/>
      <c r="AJ243" s="102"/>
      <c r="AK243" s="102"/>
      <c r="AL243" s="102"/>
      <c r="AM243" s="102"/>
      <c r="AN243" s="102"/>
      <c r="AO243" s="102"/>
      <c r="AP243" s="102"/>
      <c r="AQ243" s="102"/>
      <c r="AR243" s="102"/>
      <c r="AS243" s="102"/>
      <c r="AT243" s="102"/>
    </row>
    <row r="244" spans="1:46">
      <c r="A244" s="94"/>
      <c r="B244" s="95"/>
      <c r="C244" s="95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74"/>
      <c r="O244" s="101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</row>
    <row r="245" spans="1:46">
      <c r="A245" s="94"/>
      <c r="B245" s="95"/>
      <c r="C245" s="95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74"/>
      <c r="O245" s="101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2"/>
      <c r="AM245" s="102"/>
      <c r="AN245" s="102"/>
      <c r="AO245" s="102"/>
      <c r="AP245" s="102"/>
      <c r="AQ245" s="102"/>
      <c r="AR245" s="102"/>
      <c r="AS245" s="102"/>
      <c r="AT245" s="102"/>
    </row>
    <row r="246" spans="1:46">
      <c r="A246" s="94"/>
      <c r="B246" s="95"/>
      <c r="C246" s="95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74"/>
      <c r="O246" s="101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2"/>
      <c r="AM246" s="102"/>
      <c r="AN246" s="102"/>
      <c r="AO246" s="102"/>
      <c r="AP246" s="102"/>
      <c r="AQ246" s="102"/>
      <c r="AR246" s="102"/>
      <c r="AS246" s="102"/>
      <c r="AT246" s="102"/>
    </row>
    <row r="247" spans="1:46">
      <c r="A247" s="94"/>
      <c r="B247" s="95"/>
      <c r="C247" s="95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74"/>
      <c r="O247" s="101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  <c r="AB247" s="102"/>
      <c r="AC247" s="102"/>
      <c r="AD247" s="102"/>
      <c r="AE247" s="102"/>
      <c r="AF247" s="102"/>
      <c r="AG247" s="102"/>
      <c r="AH247" s="102"/>
      <c r="AI247" s="102"/>
      <c r="AJ247" s="102"/>
      <c r="AK247" s="102"/>
      <c r="AL247" s="102"/>
      <c r="AM247" s="102"/>
      <c r="AN247" s="102"/>
      <c r="AO247" s="102"/>
      <c r="AP247" s="102"/>
      <c r="AQ247" s="102"/>
      <c r="AR247" s="102"/>
      <c r="AS247" s="102"/>
      <c r="AT247" s="102"/>
    </row>
    <row r="248" spans="1:46">
      <c r="A248" s="94"/>
      <c r="B248" s="95"/>
      <c r="C248" s="95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74"/>
      <c r="O248" s="101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</row>
    <row r="249" spans="1:46">
      <c r="A249" s="94"/>
      <c r="B249" s="95"/>
      <c r="C249" s="95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74"/>
      <c r="O249" s="101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  <c r="AB249" s="102"/>
      <c r="AC249" s="102"/>
      <c r="AD249" s="102"/>
      <c r="AE249" s="102"/>
      <c r="AF249" s="102"/>
      <c r="AG249" s="102"/>
      <c r="AH249" s="102"/>
      <c r="AI249" s="102"/>
      <c r="AJ249" s="102"/>
      <c r="AK249" s="102"/>
      <c r="AL249" s="102"/>
      <c r="AM249" s="102"/>
      <c r="AN249" s="102"/>
      <c r="AO249" s="102"/>
      <c r="AP249" s="102"/>
      <c r="AQ249" s="102"/>
      <c r="AR249" s="102"/>
      <c r="AS249" s="102"/>
      <c r="AT249" s="102"/>
    </row>
    <row r="250" spans="1:46">
      <c r="A250" s="94"/>
      <c r="B250" s="95"/>
      <c r="C250" s="95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74"/>
      <c r="O250" s="101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</row>
    <row r="251" spans="1:46">
      <c r="A251" s="94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74"/>
      <c r="O251" s="101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  <c r="AB251" s="102"/>
      <c r="AC251" s="102"/>
      <c r="AD251" s="102"/>
      <c r="AE251" s="102"/>
      <c r="AF251" s="102"/>
      <c r="AG251" s="102"/>
      <c r="AH251" s="102"/>
      <c r="AI251" s="102"/>
      <c r="AJ251" s="102"/>
      <c r="AK251" s="102"/>
      <c r="AL251" s="102"/>
      <c r="AM251" s="102"/>
      <c r="AN251" s="102"/>
      <c r="AO251" s="102"/>
      <c r="AP251" s="102"/>
      <c r="AQ251" s="102"/>
      <c r="AR251" s="102"/>
      <c r="AS251" s="102"/>
      <c r="AT251" s="102"/>
    </row>
    <row r="252" spans="1:46">
      <c r="A252" s="94"/>
      <c r="B252" s="95"/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74"/>
      <c r="O252" s="101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</row>
    <row r="253" spans="1:46">
      <c r="A253" s="94"/>
      <c r="B253" s="95"/>
      <c r="C253" s="95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74"/>
      <c r="O253" s="101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  <c r="AB253" s="102"/>
      <c r="AC253" s="102"/>
      <c r="AD253" s="102"/>
      <c r="AE253" s="102"/>
      <c r="AF253" s="102"/>
      <c r="AG253" s="102"/>
      <c r="AH253" s="102"/>
      <c r="AI253" s="102"/>
      <c r="AJ253" s="102"/>
      <c r="AK253" s="102"/>
      <c r="AL253" s="102"/>
      <c r="AM253" s="102"/>
      <c r="AN253" s="102"/>
      <c r="AO253" s="102"/>
      <c r="AP253" s="102"/>
      <c r="AQ253" s="102"/>
      <c r="AR253" s="102"/>
      <c r="AS253" s="102"/>
      <c r="AT253" s="102"/>
    </row>
    <row r="254" spans="1:46">
      <c r="A254" s="94"/>
      <c r="B254" s="95"/>
      <c r="C254" s="95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74"/>
      <c r="O254" s="101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</row>
    <row r="255" spans="1:46">
      <c r="A255" s="94"/>
      <c r="B255" s="95"/>
      <c r="C255" s="95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74"/>
      <c r="O255" s="101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  <c r="AB255" s="102"/>
      <c r="AC255" s="102"/>
      <c r="AD255" s="102"/>
      <c r="AE255" s="102"/>
      <c r="AF255" s="102"/>
      <c r="AG255" s="102"/>
      <c r="AH255" s="102"/>
      <c r="AI255" s="102"/>
      <c r="AJ255" s="102"/>
      <c r="AK255" s="102"/>
      <c r="AL255" s="102"/>
      <c r="AM255" s="102"/>
      <c r="AN255" s="102"/>
      <c r="AO255" s="102"/>
      <c r="AP255" s="102"/>
      <c r="AQ255" s="102"/>
      <c r="AR255" s="102"/>
      <c r="AS255" s="102"/>
      <c r="AT255" s="102"/>
    </row>
    <row r="256" spans="1:46">
      <c r="A256" s="94"/>
      <c r="B256" s="95"/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74"/>
      <c r="O256" s="101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</row>
    <row r="257" spans="1:46">
      <c r="A257" s="94"/>
      <c r="B257" s="95"/>
      <c r="C257" s="95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74"/>
      <c r="O257" s="101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  <c r="AB257" s="102"/>
      <c r="AC257" s="102"/>
      <c r="AD257" s="102"/>
      <c r="AE257" s="102"/>
      <c r="AF257" s="102"/>
      <c r="AG257" s="102"/>
      <c r="AH257" s="102"/>
      <c r="AI257" s="102"/>
      <c r="AJ257" s="102"/>
      <c r="AK257" s="102"/>
      <c r="AL257" s="102"/>
      <c r="AM257" s="102"/>
      <c r="AN257" s="102"/>
      <c r="AO257" s="102"/>
      <c r="AP257" s="102"/>
      <c r="AQ257" s="102"/>
      <c r="AR257" s="102"/>
      <c r="AS257" s="102"/>
      <c r="AT257" s="102"/>
    </row>
    <row r="258" spans="1:46">
      <c r="A258" s="94"/>
      <c r="B258" s="95"/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74"/>
      <c r="O258" s="101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</row>
    <row r="259" spans="1:46">
      <c r="A259" s="94"/>
      <c r="B259" s="95"/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74"/>
      <c r="O259" s="101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  <c r="AA259" s="102"/>
      <c r="AB259" s="102"/>
      <c r="AC259" s="102"/>
      <c r="AD259" s="102"/>
      <c r="AE259" s="102"/>
      <c r="AF259" s="102"/>
      <c r="AG259" s="102"/>
      <c r="AH259" s="102"/>
      <c r="AI259" s="102"/>
      <c r="AJ259" s="102"/>
      <c r="AK259" s="102"/>
      <c r="AL259" s="102"/>
      <c r="AM259" s="102"/>
      <c r="AN259" s="102"/>
      <c r="AO259" s="102"/>
      <c r="AP259" s="102"/>
      <c r="AQ259" s="102"/>
      <c r="AR259" s="102"/>
      <c r="AS259" s="102"/>
      <c r="AT259" s="102"/>
    </row>
    <row r="260" spans="1:46">
      <c r="A260" s="94"/>
      <c r="B260" s="95"/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74"/>
      <c r="O260" s="101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</row>
    <row r="261" spans="1:46">
      <c r="A261" s="94"/>
      <c r="B261" s="94"/>
      <c r="C261" s="95"/>
      <c r="D261" s="74"/>
      <c r="E261" s="95"/>
      <c r="F261" s="95"/>
      <c r="G261" s="95"/>
      <c r="H261" s="95"/>
      <c r="I261" s="95"/>
      <c r="J261" s="95"/>
      <c r="K261" s="95"/>
      <c r="L261" s="95"/>
      <c r="M261" s="95"/>
      <c r="N261" s="74"/>
      <c r="O261" s="101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102"/>
      <c r="AC261" s="102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102"/>
      <c r="AQ261" s="102"/>
      <c r="AR261" s="102"/>
      <c r="AS261" s="102"/>
      <c r="AT261" s="102"/>
    </row>
    <row r="262" spans="1:46">
      <c r="A262" s="94"/>
      <c r="B262" s="94"/>
      <c r="C262" s="95"/>
      <c r="D262" s="74"/>
      <c r="E262" s="95"/>
      <c r="F262" s="95"/>
      <c r="G262" s="95"/>
      <c r="H262" s="95"/>
      <c r="I262" s="95"/>
      <c r="J262" s="95"/>
      <c r="K262" s="95"/>
      <c r="L262" s="95"/>
      <c r="M262" s="95"/>
      <c r="N262" s="74"/>
      <c r="O262" s="101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2"/>
      <c r="AT262" s="102"/>
    </row>
    <row r="263" spans="1:46">
      <c r="A263" s="94"/>
      <c r="B263" s="94"/>
      <c r="C263" s="95"/>
      <c r="D263" s="74"/>
      <c r="E263" s="95"/>
      <c r="F263" s="95"/>
      <c r="G263" s="95"/>
      <c r="H263" s="95"/>
      <c r="I263" s="95"/>
      <c r="J263" s="95"/>
      <c r="K263" s="95"/>
      <c r="L263" s="95"/>
      <c r="M263" s="95"/>
      <c r="N263" s="74"/>
      <c r="O263" s="101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  <c r="AB263" s="102"/>
      <c r="AC263" s="102"/>
      <c r="AD263" s="102"/>
      <c r="AE263" s="102"/>
      <c r="AF263" s="102"/>
      <c r="AG263" s="102"/>
      <c r="AH263" s="102"/>
      <c r="AI263" s="102"/>
      <c r="AJ263" s="102"/>
      <c r="AK263" s="102"/>
      <c r="AL263" s="102"/>
      <c r="AM263" s="102"/>
      <c r="AN263" s="102"/>
      <c r="AO263" s="102"/>
      <c r="AP263" s="102"/>
      <c r="AQ263" s="102"/>
      <c r="AR263" s="102"/>
      <c r="AS263" s="102"/>
      <c r="AT263" s="102"/>
    </row>
    <row r="264" spans="1:46">
      <c r="A264" s="94"/>
      <c r="B264" s="94"/>
      <c r="C264" s="95"/>
      <c r="D264" s="74"/>
      <c r="E264" s="95"/>
      <c r="F264" s="95"/>
      <c r="G264" s="95"/>
      <c r="H264" s="95"/>
      <c r="I264" s="95"/>
      <c r="J264" s="95"/>
      <c r="K264" s="95"/>
      <c r="L264" s="95"/>
      <c r="M264" s="95"/>
      <c r="N264" s="74"/>
      <c r="O264" s="101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</row>
    <row r="265" spans="1:46">
      <c r="A265" s="94"/>
      <c r="B265" s="94"/>
      <c r="C265" s="95"/>
      <c r="D265" s="74"/>
      <c r="E265" s="95"/>
      <c r="F265" s="95"/>
      <c r="G265" s="95"/>
      <c r="H265" s="95"/>
      <c r="I265" s="95"/>
      <c r="J265" s="95"/>
      <c r="K265" s="95"/>
      <c r="L265" s="95"/>
      <c r="M265" s="95"/>
      <c r="N265" s="74"/>
      <c r="O265" s="101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  <c r="AB265" s="102"/>
      <c r="AC265" s="102"/>
      <c r="AD265" s="102"/>
      <c r="AE265" s="102"/>
      <c r="AF265" s="102"/>
      <c r="AG265" s="102"/>
      <c r="AH265" s="102"/>
      <c r="AI265" s="102"/>
      <c r="AJ265" s="102"/>
      <c r="AK265" s="102"/>
      <c r="AL265" s="102"/>
      <c r="AM265" s="102"/>
      <c r="AN265" s="102"/>
      <c r="AO265" s="102"/>
      <c r="AP265" s="102"/>
      <c r="AQ265" s="102"/>
      <c r="AR265" s="102"/>
      <c r="AS265" s="102"/>
      <c r="AT265" s="102"/>
    </row>
    <row r="266" spans="1:46">
      <c r="A266" s="94"/>
      <c r="B266" s="94"/>
      <c r="C266" s="95"/>
      <c r="D266" s="74"/>
      <c r="E266" s="95"/>
      <c r="F266" s="95"/>
      <c r="G266" s="95"/>
      <c r="H266" s="95"/>
      <c r="I266" s="95"/>
      <c r="J266" s="95"/>
      <c r="K266" s="95"/>
      <c r="L266" s="95"/>
      <c r="M266" s="95"/>
      <c r="N266" s="74"/>
      <c r="O266" s="101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</row>
    <row r="267" spans="1:46">
      <c r="A267" s="94"/>
      <c r="B267" s="94"/>
      <c r="C267" s="95"/>
      <c r="D267" s="74"/>
      <c r="E267" s="95"/>
      <c r="F267" s="95"/>
      <c r="G267" s="95"/>
      <c r="H267" s="95"/>
      <c r="I267" s="95"/>
      <c r="J267" s="95"/>
      <c r="K267" s="95"/>
      <c r="L267" s="95"/>
      <c r="M267" s="95"/>
      <c r="N267" s="74"/>
      <c r="O267" s="101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  <c r="AB267" s="102"/>
      <c r="AC267" s="102"/>
      <c r="AD267" s="102"/>
      <c r="AE267" s="102"/>
      <c r="AF267" s="102"/>
      <c r="AG267" s="102"/>
      <c r="AH267" s="102"/>
      <c r="AI267" s="102"/>
      <c r="AJ267" s="102"/>
      <c r="AK267" s="102"/>
      <c r="AL267" s="102"/>
      <c r="AM267" s="102"/>
      <c r="AN267" s="102"/>
      <c r="AO267" s="102"/>
      <c r="AP267" s="102"/>
      <c r="AQ267" s="102"/>
      <c r="AR267" s="102"/>
      <c r="AS267" s="102"/>
      <c r="AT267" s="102"/>
    </row>
    <row r="268" spans="1:46">
      <c r="A268" s="94"/>
      <c r="B268" s="94"/>
      <c r="C268" s="95"/>
      <c r="D268" s="74"/>
      <c r="E268" s="95"/>
      <c r="F268" s="95"/>
      <c r="G268" s="95"/>
      <c r="H268" s="95"/>
      <c r="I268" s="95"/>
      <c r="J268" s="95"/>
      <c r="K268" s="95"/>
      <c r="L268" s="95"/>
      <c r="M268" s="95"/>
      <c r="N268" s="74"/>
      <c r="O268" s="101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</row>
    <row r="269" spans="1:46">
      <c r="A269" s="94"/>
      <c r="B269" s="94"/>
      <c r="C269" s="95"/>
      <c r="D269" s="74"/>
      <c r="E269" s="95"/>
      <c r="F269" s="95"/>
      <c r="G269" s="95"/>
      <c r="H269" s="95"/>
      <c r="I269" s="95"/>
      <c r="J269" s="95"/>
      <c r="K269" s="95"/>
      <c r="L269" s="95"/>
      <c r="M269" s="95"/>
      <c r="N269" s="74"/>
      <c r="O269" s="101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  <c r="AB269" s="102"/>
      <c r="AC269" s="102"/>
      <c r="AD269" s="102"/>
      <c r="AE269" s="102"/>
      <c r="AF269" s="102"/>
      <c r="AG269" s="102"/>
      <c r="AH269" s="102"/>
      <c r="AI269" s="102"/>
      <c r="AJ269" s="102"/>
      <c r="AK269" s="102"/>
      <c r="AL269" s="102"/>
      <c r="AM269" s="102"/>
      <c r="AN269" s="102"/>
      <c r="AO269" s="102"/>
      <c r="AP269" s="102"/>
      <c r="AQ269" s="102"/>
      <c r="AR269" s="102"/>
      <c r="AS269" s="102"/>
      <c r="AT269" s="102"/>
    </row>
    <row r="270" spans="1:46">
      <c r="A270" s="94"/>
      <c r="B270" s="94"/>
      <c r="C270" s="95"/>
      <c r="D270" s="74"/>
      <c r="E270" s="95"/>
      <c r="F270" s="95"/>
      <c r="G270" s="95"/>
      <c r="H270" s="95"/>
      <c r="I270" s="95"/>
      <c r="J270" s="95"/>
      <c r="K270" s="95"/>
      <c r="L270" s="95"/>
      <c r="M270" s="95"/>
      <c r="N270" s="74"/>
      <c r="O270" s="101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</row>
    <row r="271" spans="1:46">
      <c r="A271" s="94"/>
      <c r="B271" s="94"/>
      <c r="C271" s="95"/>
      <c r="D271" s="74"/>
      <c r="E271" s="95"/>
      <c r="F271" s="95"/>
      <c r="G271" s="95"/>
      <c r="H271" s="95"/>
      <c r="I271" s="95"/>
      <c r="J271" s="95"/>
      <c r="K271" s="95"/>
      <c r="L271" s="95"/>
      <c r="M271" s="95"/>
      <c r="N271" s="74"/>
      <c r="O271" s="101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  <c r="AB271" s="102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2"/>
      <c r="AM271" s="102"/>
      <c r="AN271" s="102"/>
      <c r="AO271" s="102"/>
      <c r="AP271" s="102"/>
      <c r="AQ271" s="102"/>
      <c r="AR271" s="102"/>
      <c r="AS271" s="102"/>
      <c r="AT271" s="102"/>
    </row>
    <row r="272" spans="1:46">
      <c r="A272" s="94"/>
      <c r="B272" s="94"/>
      <c r="C272" s="95"/>
      <c r="D272" s="74"/>
      <c r="E272" s="95"/>
      <c r="F272" s="95"/>
      <c r="G272" s="95"/>
      <c r="H272" s="95"/>
      <c r="I272" s="95"/>
      <c r="J272" s="95"/>
      <c r="K272" s="95"/>
      <c r="L272" s="95"/>
      <c r="M272" s="95"/>
      <c r="N272" s="74"/>
      <c r="O272" s="101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</row>
    <row r="273" spans="1:46">
      <c r="A273" s="94"/>
      <c r="B273" s="94"/>
      <c r="C273" s="95"/>
      <c r="D273" s="74"/>
      <c r="E273" s="95"/>
      <c r="F273" s="95"/>
      <c r="G273" s="95"/>
      <c r="H273" s="95"/>
      <c r="I273" s="95"/>
      <c r="J273" s="95"/>
      <c r="K273" s="95"/>
      <c r="L273" s="95"/>
      <c r="M273" s="95"/>
      <c r="N273" s="74"/>
      <c r="O273" s="101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  <c r="AB273" s="102"/>
      <c r="AC273" s="102"/>
      <c r="AD273" s="102"/>
      <c r="AE273" s="102"/>
      <c r="AF273" s="102"/>
      <c r="AG273" s="102"/>
      <c r="AH273" s="102"/>
      <c r="AI273" s="102"/>
      <c r="AJ273" s="102"/>
      <c r="AK273" s="102"/>
      <c r="AL273" s="102"/>
      <c r="AM273" s="102"/>
      <c r="AN273" s="102"/>
      <c r="AO273" s="102"/>
      <c r="AP273" s="102"/>
      <c r="AQ273" s="102"/>
      <c r="AR273" s="102"/>
      <c r="AS273" s="102"/>
      <c r="AT273" s="102"/>
    </row>
    <row r="274" spans="1:46">
      <c r="A274" s="94"/>
      <c r="B274" s="105"/>
      <c r="C274" s="106"/>
      <c r="D274" s="107"/>
      <c r="E274" s="95"/>
      <c r="F274" s="95"/>
      <c r="G274" s="95"/>
      <c r="H274" s="95"/>
      <c r="I274" s="95"/>
      <c r="J274" s="95"/>
      <c r="K274" s="95"/>
      <c r="L274" s="95"/>
      <c r="M274" s="95"/>
      <c r="N274" s="74"/>
      <c r="O274" s="101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</row>
    <row r="275" spans="1:46">
      <c r="A275" s="94"/>
      <c r="B275" s="95"/>
      <c r="C275" s="95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74"/>
      <c r="O275" s="101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  <c r="AA275" s="102"/>
      <c r="AB275" s="102"/>
      <c r="AC275" s="102"/>
      <c r="AD275" s="102"/>
      <c r="AE275" s="102"/>
      <c r="AF275" s="102"/>
      <c r="AG275" s="102"/>
      <c r="AH275" s="102"/>
      <c r="AI275" s="102"/>
      <c r="AJ275" s="102"/>
      <c r="AK275" s="102"/>
      <c r="AL275" s="102"/>
      <c r="AM275" s="102"/>
      <c r="AN275" s="102"/>
      <c r="AO275" s="102"/>
      <c r="AP275" s="102"/>
      <c r="AQ275" s="102"/>
      <c r="AR275" s="102"/>
      <c r="AS275" s="102"/>
      <c r="AT275" s="102"/>
    </row>
    <row r="276" spans="1:46">
      <c r="A276" s="94"/>
      <c r="B276" s="95"/>
      <c r="C276" s="95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74"/>
      <c r="O276" s="101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</row>
    <row r="277" spans="1:46">
      <c r="A277" s="94"/>
      <c r="B277" s="95"/>
      <c r="C277" s="95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74"/>
      <c r="O277" s="101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B277" s="102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</row>
    <row r="278" spans="1:46">
      <c r="A278" s="94"/>
      <c r="B278" s="95"/>
      <c r="C278" s="95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74"/>
      <c r="O278" s="101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  <c r="AA278" s="102"/>
      <c r="AB278" s="102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2"/>
      <c r="AM278" s="102"/>
      <c r="AN278" s="102"/>
      <c r="AO278" s="102"/>
      <c r="AP278" s="102"/>
      <c r="AQ278" s="102"/>
      <c r="AR278" s="102"/>
      <c r="AS278" s="102"/>
      <c r="AT278" s="102"/>
    </row>
    <row r="279" spans="1:46">
      <c r="A279" s="94"/>
      <c r="B279" s="95"/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74"/>
      <c r="O279" s="101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  <c r="AB279" s="102"/>
      <c r="AC279" s="102"/>
      <c r="AD279" s="102"/>
      <c r="AE279" s="102"/>
      <c r="AF279" s="102"/>
      <c r="AG279" s="102"/>
      <c r="AH279" s="102"/>
      <c r="AI279" s="102"/>
      <c r="AJ279" s="102"/>
      <c r="AK279" s="102"/>
      <c r="AL279" s="102"/>
      <c r="AM279" s="102"/>
      <c r="AN279" s="102"/>
      <c r="AO279" s="102"/>
      <c r="AP279" s="102"/>
      <c r="AQ279" s="102"/>
      <c r="AR279" s="102"/>
      <c r="AS279" s="102"/>
      <c r="AT279" s="102"/>
    </row>
    <row r="280" spans="1:46">
      <c r="A280" s="94"/>
      <c r="B280" s="95"/>
      <c r="C280" s="95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74"/>
      <c r="O280" s="101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</row>
    <row r="281" spans="1:46">
      <c r="A281" s="94"/>
      <c r="B281" s="95"/>
      <c r="C281" s="95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74"/>
      <c r="O281" s="101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  <c r="AB281" s="102"/>
      <c r="AC281" s="102"/>
      <c r="AD281" s="102"/>
      <c r="AE281" s="102"/>
      <c r="AF281" s="102"/>
      <c r="AG281" s="102"/>
      <c r="AH281" s="102"/>
      <c r="AI281" s="102"/>
      <c r="AJ281" s="102"/>
      <c r="AK281" s="102"/>
      <c r="AL281" s="102"/>
      <c r="AM281" s="102"/>
      <c r="AN281" s="102"/>
      <c r="AO281" s="102"/>
      <c r="AP281" s="102"/>
      <c r="AQ281" s="102"/>
      <c r="AR281" s="102"/>
      <c r="AS281" s="102"/>
      <c r="AT281" s="102"/>
    </row>
    <row r="282" spans="1:46">
      <c r="A282" s="94"/>
      <c r="B282" s="95"/>
      <c r="C282" s="95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74"/>
      <c r="O282" s="101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</row>
    <row r="283" spans="1:46">
      <c r="A283" s="105"/>
      <c r="B283" s="106"/>
      <c r="C283" s="106"/>
      <c r="D283" s="106"/>
      <c r="E283" s="106"/>
      <c r="F283" s="106"/>
      <c r="G283" s="106"/>
      <c r="H283" s="106"/>
      <c r="I283" s="106"/>
      <c r="J283" s="106"/>
      <c r="K283" s="106"/>
      <c r="L283" s="106"/>
      <c r="M283" s="106"/>
      <c r="N283" s="107"/>
      <c r="O283" s="101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  <c r="AB283" s="102"/>
      <c r="AC283" s="102"/>
      <c r="AD283" s="102"/>
      <c r="AE283" s="102"/>
      <c r="AF283" s="102"/>
      <c r="AG283" s="102"/>
      <c r="AH283" s="102"/>
      <c r="AI283" s="102"/>
      <c r="AJ283" s="102"/>
      <c r="AK283" s="102"/>
      <c r="AL283" s="102"/>
      <c r="AM283" s="102"/>
      <c r="AN283" s="102"/>
      <c r="AO283" s="102"/>
      <c r="AP283" s="102"/>
      <c r="AQ283" s="102"/>
      <c r="AR283" s="102"/>
      <c r="AS283" s="102"/>
      <c r="AT283" s="102"/>
    </row>
    <row r="284" spans="1:46">
      <c r="A284" s="95"/>
      <c r="B284" s="108"/>
      <c r="C284" s="95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101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</row>
    <row r="285" spans="1:46">
      <c r="A285" s="95"/>
      <c r="B285" s="95"/>
      <c r="C285" s="95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101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  <c r="AB285" s="102"/>
      <c r="AC285" s="102"/>
      <c r="AD285" s="102"/>
      <c r="AE285" s="102"/>
      <c r="AF285" s="102"/>
      <c r="AG285" s="102"/>
      <c r="AH285" s="102"/>
      <c r="AI285" s="102"/>
      <c r="AJ285" s="102"/>
      <c r="AK285" s="102"/>
      <c r="AL285" s="102"/>
      <c r="AM285" s="102"/>
      <c r="AN285" s="102"/>
      <c r="AO285" s="102"/>
      <c r="AP285" s="102"/>
      <c r="AQ285" s="102"/>
      <c r="AR285" s="102"/>
      <c r="AS285" s="102"/>
      <c r="AT285" s="102"/>
    </row>
    <row r="286" spans="1:46">
      <c r="A286" s="95"/>
      <c r="B286" s="95"/>
      <c r="C286" s="95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101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</row>
    <row r="287" spans="1:46">
      <c r="A287" s="95"/>
      <c r="B287" s="95"/>
      <c r="C287" s="95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101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  <c r="AB287" s="102"/>
      <c r="AC287" s="102"/>
      <c r="AD287" s="102"/>
      <c r="AE287" s="102"/>
      <c r="AF287" s="102"/>
      <c r="AG287" s="102"/>
      <c r="AH287" s="102"/>
      <c r="AI287" s="102"/>
      <c r="AJ287" s="102"/>
      <c r="AK287" s="102"/>
      <c r="AL287" s="102"/>
      <c r="AM287" s="102"/>
      <c r="AN287" s="102"/>
      <c r="AO287" s="102"/>
      <c r="AP287" s="102"/>
      <c r="AQ287" s="102"/>
      <c r="AR287" s="102"/>
      <c r="AS287" s="102"/>
      <c r="AT287" s="102"/>
    </row>
    <row r="288" spans="1:46">
      <c r="A288" s="95"/>
      <c r="B288" s="95"/>
      <c r="C288" s="95"/>
      <c r="D288" s="95"/>
      <c r="E288" s="95"/>
      <c r="F288" s="95"/>
      <c r="G288" s="95"/>
      <c r="H288" s="95"/>
      <c r="I288" s="95"/>
      <c r="J288" s="95"/>
      <c r="K288" s="95"/>
      <c r="L288" s="109"/>
      <c r="M288" s="95"/>
      <c r="N288" s="95"/>
      <c r="O288" s="101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</row>
    <row r="289" spans="1:46">
      <c r="A289" s="95"/>
      <c r="B289" s="95"/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101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  <c r="AB289" s="102"/>
      <c r="AC289" s="102"/>
      <c r="AD289" s="102"/>
      <c r="AE289" s="102"/>
      <c r="AF289" s="102"/>
      <c r="AG289" s="102"/>
      <c r="AH289" s="102"/>
      <c r="AI289" s="102"/>
      <c r="AJ289" s="102"/>
      <c r="AK289" s="102"/>
      <c r="AL289" s="102"/>
      <c r="AM289" s="102"/>
      <c r="AN289" s="102"/>
      <c r="AO289" s="102"/>
      <c r="AP289" s="102"/>
      <c r="AQ289" s="102"/>
      <c r="AR289" s="102"/>
      <c r="AS289" s="102"/>
      <c r="AT289" s="102"/>
    </row>
    <row r="290" spans="1:46">
      <c r="A290" s="95"/>
      <c r="B290" s="95"/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101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</row>
    <row r="291" spans="1:46">
      <c r="A291" s="95"/>
      <c r="B291" s="95"/>
      <c r="C291" s="95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101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  <c r="AA291" s="102"/>
      <c r="AB291" s="102"/>
      <c r="AC291" s="102"/>
      <c r="AD291" s="102"/>
      <c r="AE291" s="102"/>
      <c r="AF291" s="102"/>
      <c r="AG291" s="102"/>
      <c r="AH291" s="102"/>
      <c r="AI291" s="102"/>
      <c r="AJ291" s="102"/>
      <c r="AK291" s="102"/>
      <c r="AL291" s="102"/>
      <c r="AM291" s="102"/>
      <c r="AN291" s="102"/>
      <c r="AO291" s="102"/>
      <c r="AP291" s="102"/>
      <c r="AQ291" s="102"/>
      <c r="AR291" s="102"/>
      <c r="AS291" s="102"/>
      <c r="AT291" s="102"/>
    </row>
    <row r="292" spans="1:46">
      <c r="A292" s="95"/>
      <c r="B292" s="95"/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101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</row>
    <row r="293" spans="1:46">
      <c r="A293" s="95"/>
      <c r="B293" s="95"/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101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  <c r="AB293" s="102"/>
      <c r="AC293" s="102"/>
      <c r="AD293" s="102"/>
      <c r="AE293" s="102"/>
      <c r="AF293" s="102"/>
      <c r="AG293" s="102"/>
      <c r="AH293" s="102"/>
      <c r="AI293" s="102"/>
      <c r="AJ293" s="102"/>
      <c r="AK293" s="102"/>
      <c r="AL293" s="102"/>
      <c r="AM293" s="102"/>
      <c r="AN293" s="102"/>
      <c r="AO293" s="102"/>
      <c r="AP293" s="102"/>
      <c r="AQ293" s="102"/>
      <c r="AR293" s="102"/>
      <c r="AS293" s="102"/>
      <c r="AT293" s="102"/>
    </row>
    <row r="294" spans="1:46">
      <c r="A294" s="95"/>
      <c r="B294" s="95"/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101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</row>
    <row r="295" spans="1:46">
      <c r="A295" s="95"/>
      <c r="B295" s="95"/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101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  <c r="AB295" s="102"/>
      <c r="AC295" s="102"/>
      <c r="AD295" s="102"/>
      <c r="AE295" s="102"/>
      <c r="AF295" s="102"/>
      <c r="AG295" s="102"/>
      <c r="AH295" s="102"/>
      <c r="AI295" s="102"/>
      <c r="AJ295" s="102"/>
      <c r="AK295" s="102"/>
      <c r="AL295" s="102"/>
      <c r="AM295" s="102"/>
      <c r="AN295" s="102"/>
      <c r="AO295" s="102"/>
      <c r="AP295" s="102"/>
      <c r="AQ295" s="102"/>
      <c r="AR295" s="102"/>
      <c r="AS295" s="102"/>
      <c r="AT295" s="102"/>
    </row>
    <row r="296" spans="1:46">
      <c r="A296" s="95"/>
      <c r="B296" s="95"/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101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</row>
    <row r="297" spans="1:46">
      <c r="A297" s="95"/>
      <c r="B297" s="95"/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101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  <c r="AB297" s="102"/>
      <c r="AC297" s="102"/>
      <c r="AD297" s="102"/>
      <c r="AE297" s="102"/>
      <c r="AF297" s="102"/>
      <c r="AG297" s="102"/>
      <c r="AH297" s="102"/>
      <c r="AI297" s="102"/>
      <c r="AJ297" s="102"/>
      <c r="AK297" s="102"/>
      <c r="AL297" s="102"/>
      <c r="AM297" s="102"/>
      <c r="AN297" s="102"/>
      <c r="AO297" s="102"/>
      <c r="AP297" s="102"/>
      <c r="AQ297" s="102"/>
      <c r="AR297" s="102"/>
      <c r="AS297" s="102"/>
      <c r="AT297" s="102"/>
    </row>
    <row r="298" spans="1:46">
      <c r="A298" s="95"/>
      <c r="B298" s="95"/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101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</row>
    <row r="299" spans="1:46">
      <c r="A299" s="95"/>
      <c r="B299" s="95"/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101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  <c r="AB299" s="102"/>
      <c r="AC299" s="102"/>
      <c r="AD299" s="102"/>
      <c r="AE299" s="102"/>
      <c r="AF299" s="102"/>
      <c r="AG299" s="102"/>
      <c r="AH299" s="102"/>
      <c r="AI299" s="102"/>
      <c r="AJ299" s="102"/>
      <c r="AK299" s="102"/>
      <c r="AL299" s="102"/>
      <c r="AM299" s="102"/>
      <c r="AN299" s="102"/>
      <c r="AO299" s="102"/>
      <c r="AP299" s="102"/>
      <c r="AQ299" s="102"/>
      <c r="AR299" s="102"/>
      <c r="AS299" s="102"/>
      <c r="AT299" s="102"/>
    </row>
    <row r="300" spans="1:46">
      <c r="A300" s="95"/>
      <c r="B300" s="95"/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101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</row>
    <row r="301" spans="1:46">
      <c r="A301" s="95"/>
      <c r="B301" s="95"/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101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  <c r="AB301" s="102"/>
      <c r="AC301" s="102"/>
      <c r="AD301" s="102"/>
      <c r="AE301" s="102"/>
      <c r="AF301" s="102"/>
      <c r="AG301" s="102"/>
      <c r="AH301" s="102"/>
      <c r="AI301" s="102"/>
      <c r="AJ301" s="102"/>
      <c r="AK301" s="102"/>
      <c r="AL301" s="102"/>
      <c r="AM301" s="102"/>
      <c r="AN301" s="102"/>
      <c r="AO301" s="102"/>
      <c r="AP301" s="102"/>
      <c r="AQ301" s="102"/>
      <c r="AR301" s="102"/>
      <c r="AS301" s="102"/>
      <c r="AT301" s="102"/>
    </row>
    <row r="302" spans="1:46">
      <c r="A302" s="95"/>
      <c r="B302" s="95"/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101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</row>
    <row r="303" spans="1:46">
      <c r="A303" s="95"/>
      <c r="B303" s="95"/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101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  <c r="AB303" s="102"/>
      <c r="AC303" s="102"/>
      <c r="AD303" s="102"/>
      <c r="AE303" s="102"/>
      <c r="AF303" s="102"/>
      <c r="AG303" s="102"/>
      <c r="AH303" s="102"/>
      <c r="AI303" s="102"/>
      <c r="AJ303" s="102"/>
      <c r="AK303" s="102"/>
      <c r="AL303" s="102"/>
      <c r="AM303" s="102"/>
      <c r="AN303" s="102"/>
      <c r="AO303" s="102"/>
      <c r="AP303" s="102"/>
      <c r="AQ303" s="102"/>
      <c r="AR303" s="102"/>
      <c r="AS303" s="102"/>
      <c r="AT303" s="102"/>
    </row>
    <row r="304" spans="1:46">
      <c r="A304" s="95"/>
      <c r="B304" s="95"/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101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</row>
    <row r="305" spans="1:46">
      <c r="A305" s="95"/>
      <c r="B305" s="95"/>
      <c r="C305" s="95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101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  <c r="AB305" s="102"/>
      <c r="AC305" s="102"/>
      <c r="AD305" s="102"/>
      <c r="AE305" s="102"/>
      <c r="AF305" s="102"/>
      <c r="AG305" s="102"/>
      <c r="AH305" s="102"/>
      <c r="AI305" s="102"/>
      <c r="AJ305" s="102"/>
      <c r="AK305" s="102"/>
      <c r="AL305" s="102"/>
      <c r="AM305" s="102"/>
      <c r="AN305" s="102"/>
      <c r="AO305" s="102"/>
      <c r="AP305" s="102"/>
      <c r="AQ305" s="102"/>
      <c r="AR305" s="102"/>
      <c r="AS305" s="102"/>
      <c r="AT305" s="102"/>
    </row>
    <row r="306" spans="1:46">
      <c r="A306" s="95"/>
      <c r="B306" s="95"/>
      <c r="C306" s="95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101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</row>
    <row r="307" spans="1:46">
      <c r="A307" s="95"/>
      <c r="B307" s="95"/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101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  <c r="AA307" s="102"/>
      <c r="AB307" s="102"/>
      <c r="AC307" s="102"/>
      <c r="AD307" s="102"/>
      <c r="AE307" s="102"/>
      <c r="AF307" s="102"/>
      <c r="AG307" s="102"/>
      <c r="AH307" s="102"/>
      <c r="AI307" s="102"/>
      <c r="AJ307" s="102"/>
      <c r="AK307" s="102"/>
      <c r="AL307" s="102"/>
      <c r="AM307" s="102"/>
      <c r="AN307" s="102"/>
      <c r="AO307" s="102"/>
      <c r="AP307" s="102"/>
      <c r="AQ307" s="102"/>
      <c r="AR307" s="102"/>
      <c r="AS307" s="102"/>
      <c r="AT307" s="102"/>
    </row>
    <row r="308" spans="1:46">
      <c r="A308" s="95"/>
      <c r="B308" s="95"/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101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</row>
    <row r="309" spans="1:46">
      <c r="A309" s="95"/>
      <c r="B309" s="95"/>
      <c r="C309" s="95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101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  <c r="AB309" s="102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2"/>
      <c r="AT309" s="102"/>
    </row>
    <row r="310" spans="1:46">
      <c r="A310" s="95"/>
      <c r="B310" s="95"/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101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</row>
    <row r="311" spans="1:46">
      <c r="A311" s="95"/>
      <c r="B311" s="95"/>
      <c r="C311" s="95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101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  <c r="AB311" s="102"/>
      <c r="AC311" s="102"/>
      <c r="AD311" s="102"/>
      <c r="AE311" s="102"/>
      <c r="AF311" s="102"/>
      <c r="AG311" s="102"/>
      <c r="AH311" s="102"/>
      <c r="AI311" s="102"/>
      <c r="AJ311" s="102"/>
      <c r="AK311" s="102"/>
      <c r="AL311" s="102"/>
      <c r="AM311" s="102"/>
      <c r="AN311" s="102"/>
      <c r="AO311" s="102"/>
      <c r="AP311" s="102"/>
      <c r="AQ311" s="102"/>
      <c r="AR311" s="102"/>
      <c r="AS311" s="102"/>
      <c r="AT311" s="102"/>
    </row>
    <row r="312" spans="1:46">
      <c r="A312" s="95"/>
      <c r="B312" s="95"/>
      <c r="C312" s="95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101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</row>
    <row r="313" spans="1:46">
      <c r="A313" s="95"/>
      <c r="B313" s="95"/>
      <c r="C313" s="95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101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  <c r="AB313" s="102"/>
      <c r="AC313" s="102"/>
      <c r="AD313" s="102"/>
      <c r="AE313" s="102"/>
      <c r="AF313" s="102"/>
      <c r="AG313" s="102"/>
      <c r="AH313" s="102"/>
      <c r="AI313" s="102"/>
      <c r="AJ313" s="102"/>
      <c r="AK313" s="102"/>
      <c r="AL313" s="102"/>
      <c r="AM313" s="102"/>
      <c r="AN313" s="102"/>
      <c r="AO313" s="102"/>
      <c r="AP313" s="102"/>
      <c r="AQ313" s="102"/>
      <c r="AR313" s="102"/>
      <c r="AS313" s="102"/>
      <c r="AT313" s="102"/>
    </row>
    <row r="314" spans="1:46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101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</row>
    <row r="315" spans="1:46">
      <c r="A315" s="95"/>
      <c r="B315" s="95"/>
      <c r="C315" s="95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101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  <c r="AB315" s="102"/>
      <c r="AC315" s="102"/>
      <c r="AD315" s="102"/>
      <c r="AE315" s="102"/>
      <c r="AF315" s="102"/>
      <c r="AG315" s="102"/>
      <c r="AH315" s="102"/>
      <c r="AI315" s="102"/>
      <c r="AJ315" s="102"/>
      <c r="AK315" s="102"/>
      <c r="AL315" s="102"/>
      <c r="AM315" s="102"/>
      <c r="AN315" s="102"/>
      <c r="AO315" s="102"/>
      <c r="AP315" s="102"/>
      <c r="AQ315" s="102"/>
      <c r="AR315" s="102"/>
      <c r="AS315" s="102"/>
      <c r="AT315" s="102"/>
    </row>
    <row r="316" spans="1:46">
      <c r="A316" s="95"/>
      <c r="B316" s="95"/>
      <c r="C316" s="95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101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</row>
    <row r="317" spans="1:46">
      <c r="A317" s="95"/>
      <c r="B317" s="95"/>
      <c r="C317" s="95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101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  <c r="AB317" s="102"/>
      <c r="AC317" s="102"/>
      <c r="AD317" s="102"/>
      <c r="AE317" s="102"/>
      <c r="AF317" s="102"/>
      <c r="AG317" s="102"/>
      <c r="AH317" s="102"/>
      <c r="AI317" s="102"/>
      <c r="AJ317" s="102"/>
      <c r="AK317" s="102"/>
      <c r="AL317" s="102"/>
      <c r="AM317" s="102"/>
      <c r="AN317" s="102"/>
      <c r="AO317" s="102"/>
      <c r="AP317" s="102"/>
      <c r="AQ317" s="102"/>
      <c r="AR317" s="102"/>
      <c r="AS317" s="102"/>
      <c r="AT317" s="102"/>
    </row>
    <row r="318" spans="1:46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1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</row>
    <row r="319" spans="1:46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1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  <c r="AB319" s="102"/>
      <c r="AC319" s="102"/>
      <c r="AD319" s="102"/>
      <c r="AE319" s="102"/>
      <c r="AF319" s="102"/>
      <c r="AG319" s="102"/>
      <c r="AH319" s="102"/>
      <c r="AI319" s="102"/>
      <c r="AJ319" s="102"/>
      <c r="AK319" s="102"/>
      <c r="AL319" s="102"/>
      <c r="AM319" s="102"/>
      <c r="AN319" s="102"/>
      <c r="AO319" s="102"/>
      <c r="AP319" s="102"/>
      <c r="AQ319" s="102"/>
      <c r="AR319" s="102"/>
      <c r="AS319" s="102"/>
      <c r="AT319" s="102"/>
    </row>
    <row r="320" spans="1:46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1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</row>
    <row r="321" spans="1:46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1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  <c r="AB321" s="102"/>
      <c r="AC321" s="102"/>
      <c r="AD321" s="102"/>
      <c r="AE321" s="102"/>
      <c r="AF321" s="102"/>
      <c r="AG321" s="102"/>
      <c r="AH321" s="102"/>
      <c r="AI321" s="102"/>
      <c r="AJ321" s="102"/>
      <c r="AK321" s="102"/>
      <c r="AL321" s="102"/>
      <c r="AM321" s="102"/>
      <c r="AN321" s="102"/>
      <c r="AO321" s="102"/>
      <c r="AP321" s="102"/>
      <c r="AQ321" s="102"/>
      <c r="AR321" s="102"/>
      <c r="AS321" s="102"/>
      <c r="AT321" s="102"/>
    </row>
    <row r="322" spans="1:46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1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</row>
    <row r="323" spans="1:46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1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  <c r="AA323" s="102"/>
      <c r="AB323" s="102"/>
      <c r="AC323" s="102"/>
      <c r="AD323" s="102"/>
      <c r="AE323" s="102"/>
      <c r="AF323" s="102"/>
      <c r="AG323" s="102"/>
      <c r="AH323" s="102"/>
      <c r="AI323" s="102"/>
      <c r="AJ323" s="102"/>
      <c r="AK323" s="102"/>
      <c r="AL323" s="102"/>
      <c r="AM323" s="102"/>
      <c r="AN323" s="102"/>
      <c r="AO323" s="102"/>
      <c r="AP323" s="102"/>
      <c r="AQ323" s="102"/>
      <c r="AR323" s="102"/>
      <c r="AS323" s="102"/>
      <c r="AT323" s="102"/>
    </row>
    <row r="324" spans="1:46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1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</row>
    <row r="325" spans="1:46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1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  <c r="AB325" s="102"/>
      <c r="AC325" s="102"/>
      <c r="AD325" s="102"/>
      <c r="AE325" s="102"/>
      <c r="AF325" s="102"/>
      <c r="AG325" s="102"/>
      <c r="AH325" s="102"/>
      <c r="AI325" s="102"/>
      <c r="AJ325" s="102"/>
      <c r="AK325" s="102"/>
      <c r="AL325" s="102"/>
      <c r="AM325" s="102"/>
      <c r="AN325" s="102"/>
      <c r="AO325" s="102"/>
      <c r="AP325" s="102"/>
      <c r="AQ325" s="102"/>
      <c r="AR325" s="102"/>
      <c r="AS325" s="102"/>
      <c r="AT325" s="102"/>
    </row>
    <row r="326" spans="1:46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1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</row>
    <row r="327" spans="1:46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1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  <c r="AB327" s="102"/>
      <c r="AC327" s="102"/>
      <c r="AD327" s="102"/>
      <c r="AE327" s="102"/>
      <c r="AF327" s="102"/>
      <c r="AG327" s="102"/>
      <c r="AH327" s="102"/>
      <c r="AI327" s="102"/>
      <c r="AJ327" s="102"/>
      <c r="AK327" s="102"/>
      <c r="AL327" s="102"/>
      <c r="AM327" s="102"/>
      <c r="AN327" s="102"/>
      <c r="AO327" s="102"/>
      <c r="AP327" s="102"/>
      <c r="AQ327" s="102"/>
      <c r="AR327" s="102"/>
      <c r="AS327" s="102"/>
      <c r="AT327" s="102"/>
    </row>
    <row r="328" spans="1:46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1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</row>
    <row r="329" spans="1:46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1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  <c r="AB329" s="102"/>
      <c r="AC329" s="102"/>
      <c r="AD329" s="102"/>
      <c r="AE329" s="102"/>
      <c r="AF329" s="102"/>
      <c r="AG329" s="102"/>
      <c r="AH329" s="102"/>
      <c r="AI329" s="102"/>
      <c r="AJ329" s="102"/>
      <c r="AK329" s="102"/>
      <c r="AL329" s="102"/>
      <c r="AM329" s="102"/>
      <c r="AN329" s="102"/>
      <c r="AO329" s="102"/>
      <c r="AP329" s="102"/>
      <c r="AQ329" s="102"/>
      <c r="AR329" s="102"/>
      <c r="AS329" s="102"/>
      <c r="AT329" s="102"/>
    </row>
    <row r="330" spans="1:46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1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</row>
    <row r="331" spans="1:46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1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  <c r="AB331" s="102"/>
      <c r="AC331" s="102"/>
      <c r="AD331" s="102"/>
      <c r="AE331" s="102"/>
      <c r="AF331" s="102"/>
      <c r="AG331" s="102"/>
      <c r="AH331" s="102"/>
      <c r="AI331" s="102"/>
      <c r="AJ331" s="102"/>
      <c r="AK331" s="102"/>
      <c r="AL331" s="102"/>
      <c r="AM331" s="102"/>
      <c r="AN331" s="102"/>
      <c r="AO331" s="102"/>
      <c r="AP331" s="102"/>
      <c r="AQ331" s="102"/>
      <c r="AR331" s="102"/>
      <c r="AS331" s="102"/>
      <c r="AT331" s="102"/>
    </row>
    <row r="332" spans="1:46">
      <c r="K332" s="102"/>
      <c r="L332" s="102"/>
      <c r="M332" s="102"/>
      <c r="N332" s="102"/>
      <c r="O332" s="101"/>
      <c r="P332" s="102"/>
      <c r="Q332" s="102"/>
      <c r="R332" s="102"/>
      <c r="S332" s="102"/>
      <c r="T332" s="102"/>
      <c r="U332" s="102"/>
      <c r="V332" s="102"/>
      <c r="W332" s="102"/>
    </row>
    <row r="333" spans="1:46">
      <c r="K333" s="102"/>
      <c r="L333" s="102"/>
      <c r="M333" s="102"/>
      <c r="N333" s="102"/>
      <c r="O333" s="101"/>
      <c r="P333" s="102"/>
      <c r="Q333" s="102"/>
      <c r="R333" s="102"/>
      <c r="S333" s="102"/>
      <c r="T333" s="102"/>
      <c r="U333" s="102"/>
      <c r="V333" s="102"/>
      <c r="W333" s="102"/>
    </row>
    <row r="334" spans="1:46">
      <c r="K334" s="102"/>
      <c r="L334" s="102"/>
      <c r="M334" s="102"/>
      <c r="N334" s="102"/>
      <c r="O334" s="101"/>
      <c r="P334" s="102"/>
      <c r="Q334" s="102"/>
      <c r="R334" s="102"/>
      <c r="S334" s="102"/>
      <c r="T334" s="102"/>
      <c r="U334" s="102"/>
      <c r="V334" s="102"/>
      <c r="W334" s="102"/>
    </row>
    <row r="335" spans="1:46">
      <c r="K335" s="102"/>
      <c r="L335" s="102"/>
      <c r="M335" s="102"/>
      <c r="N335" s="102"/>
      <c r="O335" s="101"/>
      <c r="P335" s="102"/>
      <c r="Q335" s="102"/>
      <c r="R335" s="102"/>
      <c r="S335" s="102"/>
      <c r="T335" s="102"/>
      <c r="U335" s="102"/>
      <c r="V335" s="102"/>
      <c r="W335" s="102"/>
    </row>
    <row r="336" spans="1:46">
      <c r="K336" s="102"/>
      <c r="L336" s="102"/>
      <c r="M336" s="102"/>
      <c r="N336" s="102"/>
      <c r="O336" s="101"/>
      <c r="P336" s="102"/>
      <c r="Q336" s="102"/>
      <c r="R336" s="102"/>
      <c r="S336" s="102"/>
      <c r="T336" s="102"/>
      <c r="U336" s="102"/>
      <c r="V336" s="102"/>
      <c r="W336" s="102"/>
    </row>
    <row r="337" spans="11:23">
      <c r="K337" s="102"/>
      <c r="L337" s="102"/>
      <c r="M337" s="102"/>
      <c r="N337" s="102"/>
      <c r="O337" s="101"/>
      <c r="P337" s="102"/>
      <c r="Q337" s="102"/>
      <c r="R337" s="102"/>
      <c r="S337" s="102"/>
      <c r="T337" s="102"/>
      <c r="U337" s="102"/>
      <c r="V337" s="102"/>
      <c r="W337" s="102"/>
    </row>
    <row r="338" spans="11:23">
      <c r="K338" s="102"/>
      <c r="L338" s="102"/>
      <c r="M338" s="102"/>
      <c r="N338" s="102"/>
      <c r="O338" s="101"/>
      <c r="P338" s="102"/>
      <c r="Q338" s="102"/>
      <c r="R338" s="102"/>
      <c r="S338" s="102"/>
      <c r="T338" s="102"/>
      <c r="U338" s="102"/>
      <c r="V338" s="102"/>
      <c r="W338" s="102"/>
    </row>
    <row r="339" spans="11:23">
      <c r="K339" s="102"/>
      <c r="L339" s="102"/>
      <c r="M339" s="102"/>
      <c r="N339" s="102"/>
      <c r="O339" s="101"/>
      <c r="P339" s="102"/>
      <c r="Q339" s="102"/>
      <c r="R339" s="102"/>
      <c r="S339" s="102"/>
      <c r="T339" s="102"/>
      <c r="U339" s="102"/>
      <c r="V339" s="102"/>
      <c r="W339" s="102"/>
    </row>
    <row r="340" spans="11:23">
      <c r="K340" s="102"/>
      <c r="L340" s="102"/>
      <c r="M340" s="102"/>
      <c r="N340" s="102"/>
      <c r="O340" s="101"/>
      <c r="P340" s="102"/>
      <c r="Q340" s="102"/>
      <c r="R340" s="102"/>
      <c r="S340" s="102"/>
      <c r="T340" s="102"/>
      <c r="U340" s="102"/>
      <c r="V340" s="102"/>
      <c r="W340" s="102"/>
    </row>
    <row r="341" spans="11:23">
      <c r="K341" s="102"/>
      <c r="L341" s="102"/>
      <c r="M341" s="102"/>
      <c r="N341" s="102"/>
      <c r="O341" s="101"/>
      <c r="P341" s="102"/>
      <c r="Q341" s="102"/>
      <c r="R341" s="102"/>
      <c r="S341" s="102"/>
      <c r="T341" s="102"/>
      <c r="U341" s="102"/>
      <c r="V341" s="102"/>
      <c r="W341" s="102"/>
    </row>
    <row r="342" spans="11:23">
      <c r="K342" s="102"/>
      <c r="L342" s="102"/>
      <c r="M342" s="102"/>
      <c r="N342" s="102"/>
      <c r="O342" s="101"/>
      <c r="P342" s="102"/>
      <c r="Q342" s="102"/>
      <c r="R342" s="102"/>
      <c r="S342" s="102"/>
      <c r="T342" s="102"/>
      <c r="U342" s="102"/>
      <c r="V342" s="102"/>
      <c r="W342" s="102"/>
    </row>
    <row r="343" spans="11:23">
      <c r="K343" s="102"/>
      <c r="L343" s="102"/>
      <c r="M343" s="102"/>
      <c r="N343" s="102"/>
      <c r="O343" s="101"/>
      <c r="P343" s="102"/>
      <c r="Q343" s="102"/>
      <c r="R343" s="102"/>
      <c r="S343" s="102"/>
      <c r="T343" s="102"/>
      <c r="U343" s="102"/>
      <c r="V343" s="102"/>
      <c r="W343" s="102"/>
    </row>
    <row r="344" spans="11:23">
      <c r="K344" s="102"/>
      <c r="L344" s="102"/>
      <c r="M344" s="102"/>
      <c r="N344" s="102"/>
      <c r="O344" s="101"/>
      <c r="P344" s="102"/>
      <c r="Q344" s="102"/>
      <c r="R344" s="102"/>
      <c r="S344" s="102"/>
      <c r="T344" s="102"/>
      <c r="U344" s="102"/>
      <c r="V344" s="102"/>
      <c r="W344" s="102"/>
    </row>
    <row r="345" spans="11:23">
      <c r="K345" s="102"/>
      <c r="L345" s="102"/>
      <c r="M345" s="102"/>
      <c r="N345" s="102"/>
      <c r="O345" s="101"/>
      <c r="P345" s="102"/>
      <c r="Q345" s="102"/>
      <c r="R345" s="102"/>
      <c r="S345" s="102"/>
      <c r="T345" s="102"/>
      <c r="U345" s="102"/>
      <c r="V345" s="102"/>
      <c r="W345" s="102"/>
    </row>
    <row r="346" spans="11:23">
      <c r="K346" s="102"/>
      <c r="L346" s="102"/>
      <c r="M346" s="102"/>
      <c r="N346" s="102"/>
      <c r="O346" s="101"/>
      <c r="P346" s="102"/>
      <c r="Q346" s="102"/>
      <c r="R346" s="102"/>
      <c r="S346" s="102"/>
      <c r="T346" s="102"/>
      <c r="U346" s="102"/>
      <c r="V346" s="102"/>
      <c r="W346" s="102"/>
    </row>
    <row r="347" spans="11:23">
      <c r="K347" s="102"/>
      <c r="L347" s="102"/>
      <c r="M347" s="102"/>
      <c r="N347" s="102"/>
      <c r="O347" s="101"/>
      <c r="P347" s="102"/>
      <c r="Q347" s="102"/>
      <c r="R347" s="102"/>
      <c r="S347" s="102"/>
      <c r="T347" s="102"/>
      <c r="U347" s="102"/>
      <c r="V347" s="102"/>
      <c r="W347" s="102"/>
    </row>
    <row r="348" spans="11:23">
      <c r="K348" s="102"/>
      <c r="L348" s="102"/>
      <c r="M348" s="102"/>
      <c r="N348" s="102"/>
      <c r="O348" s="101"/>
      <c r="P348" s="102"/>
      <c r="Q348" s="102"/>
      <c r="R348" s="102"/>
      <c r="S348" s="102"/>
      <c r="T348" s="102"/>
      <c r="U348" s="102"/>
      <c r="V348" s="102"/>
      <c r="W348" s="102"/>
    </row>
    <row r="349" spans="11:23">
      <c r="K349" s="102"/>
      <c r="L349" s="102"/>
      <c r="M349" s="102"/>
      <c r="N349" s="102"/>
      <c r="O349" s="101"/>
      <c r="P349" s="102"/>
      <c r="Q349" s="102"/>
      <c r="R349" s="102"/>
      <c r="S349" s="102"/>
      <c r="T349" s="102"/>
      <c r="U349" s="102"/>
      <c r="V349" s="102"/>
      <c r="W349" s="102"/>
    </row>
    <row r="350" spans="11:23">
      <c r="K350" s="102"/>
      <c r="L350" s="102"/>
      <c r="M350" s="102"/>
      <c r="N350" s="102"/>
      <c r="O350" s="101"/>
      <c r="P350" s="102"/>
      <c r="Q350" s="102"/>
      <c r="R350" s="102"/>
      <c r="S350" s="102"/>
      <c r="T350" s="102"/>
      <c r="U350" s="102"/>
      <c r="V350" s="102"/>
      <c r="W350" s="102"/>
    </row>
    <row r="351" spans="11:23">
      <c r="K351" s="102"/>
      <c r="L351" s="102"/>
      <c r="M351" s="102"/>
      <c r="N351" s="102"/>
      <c r="O351" s="101"/>
      <c r="P351" s="102"/>
      <c r="Q351" s="102"/>
      <c r="R351" s="102"/>
      <c r="S351" s="102"/>
      <c r="T351" s="102"/>
      <c r="U351" s="102"/>
      <c r="V351" s="102"/>
      <c r="W351" s="102"/>
    </row>
    <row r="352" spans="11:23">
      <c r="K352" s="102"/>
      <c r="L352" s="102"/>
      <c r="M352" s="102"/>
      <c r="N352" s="102"/>
      <c r="O352" s="101"/>
      <c r="P352" s="102"/>
      <c r="Q352" s="102"/>
      <c r="R352" s="102"/>
      <c r="S352" s="102"/>
      <c r="T352" s="102"/>
      <c r="U352" s="102"/>
      <c r="V352" s="102"/>
      <c r="W352" s="102"/>
    </row>
    <row r="353" spans="11:23">
      <c r="K353" s="102"/>
      <c r="L353" s="102"/>
      <c r="M353" s="102"/>
      <c r="N353" s="102"/>
      <c r="O353" s="101"/>
      <c r="P353" s="102"/>
      <c r="Q353" s="102"/>
      <c r="R353" s="102"/>
      <c r="S353" s="102"/>
      <c r="T353" s="102"/>
      <c r="U353" s="102"/>
      <c r="V353" s="102"/>
      <c r="W353" s="102"/>
    </row>
    <row r="354" spans="11:23">
      <c r="K354" s="102"/>
      <c r="L354" s="102"/>
      <c r="M354" s="102"/>
      <c r="N354" s="102"/>
      <c r="O354" s="101"/>
      <c r="P354" s="102"/>
      <c r="Q354" s="102"/>
      <c r="R354" s="102"/>
      <c r="S354" s="102"/>
      <c r="T354" s="102"/>
      <c r="U354" s="102"/>
      <c r="V354" s="102"/>
      <c r="W354" s="102"/>
    </row>
    <row r="355" spans="11:23">
      <c r="K355" s="102"/>
      <c r="L355" s="102"/>
      <c r="M355" s="102"/>
      <c r="N355" s="102"/>
      <c r="O355" s="101"/>
      <c r="P355" s="102"/>
      <c r="Q355" s="102"/>
      <c r="R355" s="102"/>
      <c r="S355" s="102"/>
      <c r="T355" s="102"/>
      <c r="U355" s="102"/>
      <c r="V355" s="102"/>
      <c r="W355" s="102"/>
    </row>
    <row r="356" spans="11:23">
      <c r="K356" s="102"/>
      <c r="L356" s="102"/>
      <c r="M356" s="102"/>
      <c r="N356" s="102"/>
      <c r="O356" s="101"/>
      <c r="P356" s="102"/>
      <c r="Q356" s="102"/>
      <c r="R356" s="102"/>
      <c r="S356" s="102"/>
      <c r="T356" s="102"/>
      <c r="U356" s="102"/>
      <c r="V356" s="102"/>
      <c r="W356" s="102"/>
    </row>
    <row r="357" spans="11:23">
      <c r="K357" s="102"/>
      <c r="L357" s="102"/>
      <c r="M357" s="102"/>
      <c r="N357" s="102"/>
      <c r="O357" s="101"/>
      <c r="P357" s="102"/>
      <c r="Q357" s="102"/>
      <c r="R357" s="102"/>
      <c r="S357" s="102"/>
      <c r="T357" s="102"/>
      <c r="U357" s="102"/>
      <c r="V357" s="102"/>
      <c r="W357" s="102"/>
    </row>
  </sheetData>
  <mergeCells count="10">
    <mergeCell ref="B166:B167"/>
    <mergeCell ref="A1:K1"/>
    <mergeCell ref="A25:K25"/>
    <mergeCell ref="A79:K79"/>
    <mergeCell ref="B109:K109"/>
    <mergeCell ref="A2:A3"/>
    <mergeCell ref="A4:A24"/>
    <mergeCell ref="A26:A78"/>
    <mergeCell ref="A80:A108"/>
    <mergeCell ref="A109:A127"/>
  </mergeCells>
  <pageMargins left="0.39305555555555599" right="0.27500000000000002" top="0.31388888888888899" bottom="0.75" header="0.3" footer="0.3"/>
  <pageSetup paperSize="9" scale="95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D11F5"/>
  </sheetPr>
  <dimension ref="A1:E24"/>
  <sheetViews>
    <sheetView workbookViewId="0">
      <selection activeCell="E27" sqref="E27"/>
    </sheetView>
  </sheetViews>
  <sheetFormatPr defaultColWidth="9.140625" defaultRowHeight="15"/>
  <cols>
    <col min="1" max="8" width="14.28515625" customWidth="1"/>
  </cols>
  <sheetData>
    <row r="1" spans="1:4">
      <c r="A1" s="618" t="s">
        <v>16</v>
      </c>
      <c r="B1" s="619"/>
      <c r="C1" s="620" t="s">
        <v>1468</v>
      </c>
      <c r="D1" s="619"/>
    </row>
    <row r="2" spans="1:4">
      <c r="A2" s="1"/>
      <c r="B2" s="2" t="s">
        <v>30</v>
      </c>
      <c r="C2" s="3"/>
      <c r="D2" s="4" t="s">
        <v>1469</v>
      </c>
    </row>
    <row r="3" spans="1:4">
      <c r="A3" s="5"/>
      <c r="B3" s="6" t="s">
        <v>37</v>
      </c>
      <c r="C3" s="7"/>
      <c r="D3" s="8" t="s">
        <v>1470</v>
      </c>
    </row>
    <row r="4" spans="1:4">
      <c r="A4" s="9"/>
      <c r="B4" s="10" t="s">
        <v>49</v>
      </c>
    </row>
    <row r="5" spans="1:4">
      <c r="A5" s="11"/>
      <c r="B5" s="10" t="s">
        <v>53</v>
      </c>
    </row>
    <row r="6" spans="1:4">
      <c r="A6" s="12"/>
      <c r="B6" s="13" t="s">
        <v>64</v>
      </c>
    </row>
    <row r="7" spans="1:4">
      <c r="A7" s="14"/>
      <c r="B7" s="13" t="s">
        <v>69</v>
      </c>
    </row>
    <row r="8" spans="1:4">
      <c r="A8" s="15"/>
      <c r="B8" s="16" t="s">
        <v>86</v>
      </c>
    </row>
    <row r="9" spans="1:4">
      <c r="A9" s="17"/>
      <c r="B9" s="18" t="s">
        <v>98</v>
      </c>
    </row>
    <row r="10" spans="1:4">
      <c r="A10" s="19"/>
      <c r="B10" s="6" t="s">
        <v>101</v>
      </c>
    </row>
    <row r="11" spans="1:4">
      <c r="A11" s="20"/>
      <c r="B11" s="6" t="s">
        <v>108</v>
      </c>
    </row>
    <row r="12" spans="1:4">
      <c r="A12" s="21"/>
      <c r="B12" s="6" t="s">
        <v>111</v>
      </c>
    </row>
    <row r="13" spans="1:4">
      <c r="A13" s="22"/>
      <c r="B13" s="23" t="s">
        <v>116</v>
      </c>
    </row>
    <row r="14" spans="1:4">
      <c r="A14" s="24"/>
      <c r="B14" s="25" t="s">
        <v>121</v>
      </c>
    </row>
    <row r="15" spans="1:4">
      <c r="A15" s="26"/>
      <c r="B15" s="27" t="s">
        <v>40</v>
      </c>
    </row>
    <row r="16" spans="1:4">
      <c r="A16" s="28"/>
      <c r="B16" s="27" t="s">
        <v>41</v>
      </c>
    </row>
    <row r="21" spans="5:5">
      <c r="E21" s="29"/>
    </row>
    <row r="22" spans="5:5">
      <c r="E22" s="29"/>
    </row>
    <row r="24" spans="5:5" ht="15.95" customHeight="1"/>
  </sheetData>
  <mergeCells count="2">
    <mergeCell ref="A1:B1"/>
    <mergeCell ref="C1:D1"/>
  </mergeCells>
  <pageMargins left="0.75" right="0.75" top="1" bottom="1" header="0.51180555555555596" footer="0.51180555555555596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one on one</vt:lpstr>
      <vt:lpstr>Group class</vt:lpstr>
      <vt:lpstr>Activity Class</vt:lpstr>
      <vt:lpstr>IELTS</vt:lpstr>
      <vt:lpstr>'Activity Class'!Print_Area</vt:lpstr>
      <vt:lpstr>'Group class'!Print_Area</vt:lpstr>
      <vt:lpstr>'one on one'!Print_Area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조승철</dc:creator>
  <cp:lastModifiedBy>iTech-RAR</cp:lastModifiedBy>
  <cp:lastPrinted>2017-03-01T00:07:22Z</cp:lastPrinted>
  <dcterms:created xsi:type="dcterms:W3CDTF">2016-07-30T09:10:00Z</dcterms:created>
  <dcterms:modified xsi:type="dcterms:W3CDTF">2017-05-08T05:49:13Z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1033-10.2.0.5811</vt:lpwstr>
  </property>
  <property fmtid="{D5CDD505-2E9C-101B-9397-08002B2CF9AE}" pid="3" name="KSOReadingLayout">
    <vt:bool>false</vt:bool>
  </property>
</Properties>
</file>